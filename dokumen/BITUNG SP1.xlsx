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PSDKP\Data PP\"/>
    </mc:Choice>
  </mc:AlternateContent>
  <xr:revisionPtr revIDLastSave="0" documentId="8_{5B46D600-EBA5-410E-B768-5CCCFB932A92}" xr6:coauthVersionLast="47" xr6:coauthVersionMax="47" xr10:uidLastSave="{00000000-0000-0000-0000-000000000000}"/>
  <bookViews>
    <workbookView xWindow="-110" yWindow="-110" windowWidth="25820" windowHeight="13900" xr2:uid="{3BA1EECA-46B3-40AA-8962-0E632D656465}"/>
  </bookViews>
  <sheets>
    <sheet name="BITU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37" i="1" l="1"/>
  <c r="AB137" i="1"/>
  <c r="AA137" i="1"/>
  <c r="R137" i="1"/>
  <c r="Q137" i="1"/>
  <c r="P137" i="1"/>
  <c r="O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F136" i="1"/>
  <c r="AB136" i="1"/>
  <c r="AA136" i="1"/>
  <c r="R136" i="1"/>
  <c r="P136" i="1"/>
  <c r="O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F135" i="1"/>
  <c r="AB135" i="1"/>
  <c r="AA135" i="1"/>
  <c r="R135" i="1"/>
  <c r="P135" i="1"/>
  <c r="O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F134" i="1"/>
  <c r="AB134" i="1"/>
  <c r="AA134" i="1"/>
  <c r="R134" i="1"/>
  <c r="P134" i="1"/>
  <c r="O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F133" i="1"/>
  <c r="AB133" i="1"/>
  <c r="AA133" i="1"/>
  <c r="R133" i="1"/>
  <c r="P133" i="1"/>
  <c r="O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F132" i="1"/>
  <c r="AB132" i="1"/>
  <c r="AA132" i="1"/>
  <c r="R132" i="1"/>
  <c r="P132" i="1"/>
  <c r="O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F131" i="1"/>
  <c r="AB131" i="1"/>
  <c r="AA131" i="1"/>
  <c r="R131" i="1"/>
  <c r="P131" i="1"/>
  <c r="O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F130" i="1"/>
  <c r="AB130" i="1"/>
  <c r="AA130" i="1"/>
  <c r="R130" i="1"/>
  <c r="P130" i="1"/>
  <c r="O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F129" i="1"/>
  <c r="AB129" i="1"/>
  <c r="AA129" i="1"/>
  <c r="R129" i="1"/>
  <c r="P129" i="1"/>
  <c r="O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F128" i="1"/>
  <c r="AB128" i="1"/>
  <c r="AA128" i="1"/>
  <c r="R128" i="1"/>
  <c r="P128" i="1"/>
  <c r="O128" i="1"/>
  <c r="N128" i="1"/>
  <c r="M128" i="1"/>
  <c r="J128" i="1"/>
  <c r="I128" i="1"/>
  <c r="H128" i="1"/>
  <c r="G128" i="1"/>
  <c r="F128" i="1"/>
  <c r="E128" i="1"/>
  <c r="D128" i="1"/>
  <c r="C128" i="1"/>
  <c r="B128" i="1"/>
  <c r="A128" i="1"/>
  <c r="AF127" i="1"/>
  <c r="AB127" i="1"/>
  <c r="AA127" i="1"/>
  <c r="R127" i="1"/>
  <c r="P127" i="1"/>
  <c r="O127" i="1"/>
  <c r="N127" i="1"/>
  <c r="M127" i="1"/>
  <c r="J127" i="1"/>
  <c r="I127" i="1"/>
  <c r="H127" i="1"/>
  <c r="G127" i="1"/>
  <c r="F127" i="1"/>
  <c r="E127" i="1"/>
  <c r="D127" i="1"/>
  <c r="C127" i="1"/>
  <c r="B127" i="1"/>
  <c r="A127" i="1"/>
  <c r="AF126" i="1"/>
  <c r="AB126" i="1"/>
  <c r="AA126" i="1"/>
  <c r="R126" i="1"/>
  <c r="P126" i="1"/>
  <c r="O126" i="1"/>
  <c r="N126" i="1"/>
  <c r="M126" i="1"/>
  <c r="J126" i="1"/>
  <c r="I126" i="1"/>
  <c r="H126" i="1"/>
  <c r="G126" i="1"/>
  <c r="F126" i="1"/>
  <c r="E126" i="1"/>
  <c r="D126" i="1"/>
  <c r="C126" i="1"/>
  <c r="B126" i="1"/>
  <c r="A126" i="1"/>
  <c r="AF125" i="1"/>
  <c r="AB125" i="1"/>
  <c r="AA125" i="1"/>
  <c r="R125" i="1"/>
  <c r="P125" i="1"/>
  <c r="O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F124" i="1"/>
  <c r="AB124" i="1"/>
  <c r="AA124" i="1"/>
  <c r="R124" i="1"/>
  <c r="P124" i="1"/>
  <c r="O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F123" i="1"/>
  <c r="AB123" i="1"/>
  <c r="AA123" i="1"/>
  <c r="R123" i="1"/>
  <c r="P123" i="1"/>
  <c r="O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F122" i="1"/>
  <c r="AB122" i="1"/>
  <c r="AA122" i="1"/>
  <c r="R122" i="1"/>
  <c r="P122" i="1"/>
  <c r="O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F121" i="1"/>
  <c r="AB121" i="1"/>
  <c r="AA121" i="1"/>
  <c r="R121" i="1"/>
  <c r="P121" i="1"/>
  <c r="O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F120" i="1"/>
  <c r="AB120" i="1"/>
  <c r="AA120" i="1"/>
  <c r="R120" i="1"/>
  <c r="P120" i="1"/>
  <c r="O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F119" i="1"/>
  <c r="AB119" i="1"/>
  <c r="AA119" i="1"/>
  <c r="R119" i="1"/>
  <c r="P119" i="1"/>
  <c r="O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F118" i="1"/>
  <c r="AB118" i="1"/>
  <c r="AA118" i="1"/>
  <c r="R118" i="1"/>
  <c r="P118" i="1"/>
  <c r="O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G117" i="1"/>
  <c r="AF117" i="1"/>
  <c r="AB117" i="1"/>
  <c r="AA117" i="1"/>
  <c r="R117" i="1"/>
  <c r="Q117" i="1"/>
  <c r="P117" i="1"/>
  <c r="O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G116" i="1"/>
  <c r="AF116" i="1"/>
  <c r="AB116" i="1"/>
  <c r="AA116" i="1"/>
  <c r="R116" i="1"/>
  <c r="Q116" i="1"/>
  <c r="P116" i="1"/>
  <c r="O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F115" i="1"/>
  <c r="AB115" i="1"/>
  <c r="AA115" i="1"/>
  <c r="R115" i="1"/>
  <c r="P115" i="1"/>
  <c r="O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F114" i="1"/>
  <c r="AB114" i="1"/>
  <c r="AA114" i="1"/>
  <c r="R114" i="1"/>
  <c r="Q114" i="1"/>
  <c r="P114" i="1"/>
  <c r="O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F113" i="1"/>
  <c r="AB113" i="1"/>
  <c r="AA113" i="1"/>
  <c r="R113" i="1"/>
  <c r="P113" i="1"/>
  <c r="O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F112" i="1"/>
  <c r="AB112" i="1"/>
  <c r="AA112" i="1"/>
  <c r="R112" i="1"/>
  <c r="Q112" i="1"/>
  <c r="P112" i="1"/>
  <c r="O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F111" i="1"/>
  <c r="AB111" i="1"/>
  <c r="AA111" i="1"/>
  <c r="R111" i="1"/>
  <c r="P111" i="1"/>
  <c r="O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F110" i="1"/>
  <c r="AB110" i="1"/>
  <c r="AA110" i="1"/>
  <c r="R110" i="1"/>
  <c r="P110" i="1"/>
  <c r="O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F109" i="1"/>
  <c r="AB109" i="1"/>
  <c r="AA109" i="1"/>
  <c r="R109" i="1"/>
  <c r="P109" i="1"/>
  <c r="O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F108" i="1"/>
  <c r="AB108" i="1"/>
  <c r="AA108" i="1"/>
  <c r="R108" i="1"/>
  <c r="P108" i="1"/>
  <c r="O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F107" i="1"/>
  <c r="AB107" i="1"/>
  <c r="AA107" i="1"/>
  <c r="R107" i="1"/>
  <c r="P107" i="1"/>
  <c r="O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F106" i="1"/>
  <c r="AB106" i="1"/>
  <c r="AA106" i="1"/>
  <c r="R106" i="1"/>
  <c r="Q106" i="1"/>
  <c r="P106" i="1"/>
  <c r="O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F105" i="1"/>
  <c r="AB105" i="1"/>
  <c r="AA105" i="1"/>
  <c r="R105" i="1"/>
  <c r="P105" i="1"/>
  <c r="O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F104" i="1"/>
  <c r="AB104" i="1"/>
  <c r="AA104" i="1"/>
  <c r="R104" i="1"/>
  <c r="Q104" i="1"/>
  <c r="P104" i="1"/>
  <c r="O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F103" i="1"/>
  <c r="AB103" i="1"/>
  <c r="AA103" i="1"/>
  <c r="R103" i="1"/>
  <c r="P103" i="1"/>
  <c r="O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F102" i="1"/>
  <c r="AB102" i="1"/>
  <c r="AA102" i="1"/>
  <c r="R102" i="1"/>
  <c r="P102" i="1"/>
  <c r="O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F101" i="1"/>
  <c r="AB101" i="1"/>
  <c r="AA101" i="1"/>
  <c r="R101" i="1"/>
  <c r="P101" i="1"/>
  <c r="O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F100" i="1"/>
  <c r="AB100" i="1"/>
  <c r="AA100" i="1"/>
  <c r="R100" i="1"/>
  <c r="P100" i="1"/>
  <c r="O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F99" i="1"/>
  <c r="AB99" i="1"/>
  <c r="AA99" i="1"/>
  <c r="R99" i="1"/>
  <c r="P99" i="1"/>
  <c r="O99" i="1"/>
  <c r="L99" i="1"/>
  <c r="K99" i="1"/>
  <c r="J99" i="1"/>
  <c r="I99" i="1"/>
  <c r="H99" i="1"/>
  <c r="G99" i="1"/>
  <c r="F99" i="1"/>
  <c r="E99" i="1"/>
  <c r="D99" i="1"/>
  <c r="C99" i="1"/>
  <c r="B99" i="1"/>
  <c r="A99" i="1"/>
  <c r="AF98" i="1"/>
  <c r="AB98" i="1"/>
  <c r="AA98" i="1"/>
  <c r="R98" i="1"/>
  <c r="Q98" i="1"/>
  <c r="P98" i="1"/>
  <c r="O98" i="1"/>
  <c r="L98" i="1"/>
  <c r="K98" i="1"/>
  <c r="J98" i="1"/>
  <c r="I98" i="1"/>
  <c r="H98" i="1"/>
  <c r="G98" i="1"/>
  <c r="F98" i="1"/>
  <c r="E98" i="1"/>
  <c r="D98" i="1"/>
  <c r="C98" i="1"/>
  <c r="B98" i="1"/>
  <c r="A98" i="1"/>
  <c r="AF97" i="1"/>
  <c r="AB97" i="1"/>
  <c r="AA97" i="1"/>
  <c r="R97" i="1"/>
  <c r="P97" i="1"/>
  <c r="O97" i="1"/>
  <c r="L97" i="1"/>
  <c r="K97" i="1"/>
  <c r="J97" i="1"/>
  <c r="I97" i="1"/>
  <c r="H97" i="1"/>
  <c r="G97" i="1"/>
  <c r="F97" i="1"/>
  <c r="E97" i="1"/>
  <c r="D97" i="1"/>
  <c r="C97" i="1"/>
  <c r="B97" i="1"/>
  <c r="A97" i="1"/>
  <c r="AF96" i="1"/>
  <c r="AB96" i="1"/>
  <c r="AA96" i="1"/>
  <c r="R96" i="1"/>
  <c r="P96" i="1"/>
  <c r="O96" i="1"/>
  <c r="L96" i="1"/>
  <c r="K96" i="1"/>
  <c r="J96" i="1"/>
  <c r="I96" i="1"/>
  <c r="H96" i="1"/>
  <c r="G96" i="1"/>
  <c r="F96" i="1"/>
  <c r="E96" i="1"/>
  <c r="D96" i="1"/>
  <c r="C96" i="1"/>
  <c r="B96" i="1"/>
  <c r="A96" i="1"/>
  <c r="AF95" i="1"/>
  <c r="AB95" i="1"/>
  <c r="AA95" i="1"/>
  <c r="R95" i="1"/>
  <c r="P95" i="1"/>
  <c r="O95" i="1"/>
  <c r="L95" i="1"/>
  <c r="K95" i="1"/>
  <c r="J95" i="1"/>
  <c r="I95" i="1"/>
  <c r="H95" i="1"/>
  <c r="G95" i="1"/>
  <c r="F95" i="1"/>
  <c r="E95" i="1"/>
  <c r="D95" i="1"/>
  <c r="C95" i="1"/>
  <c r="B95" i="1"/>
  <c r="A95" i="1"/>
  <c r="AF94" i="1"/>
  <c r="AB94" i="1"/>
  <c r="AA94" i="1"/>
  <c r="R94" i="1"/>
  <c r="Q94" i="1"/>
  <c r="P94" i="1"/>
  <c r="O94" i="1"/>
  <c r="L94" i="1"/>
  <c r="K94" i="1"/>
  <c r="J94" i="1"/>
  <c r="I94" i="1"/>
  <c r="H94" i="1"/>
  <c r="G94" i="1"/>
  <c r="F94" i="1"/>
  <c r="E94" i="1"/>
  <c r="D94" i="1"/>
  <c r="C94" i="1"/>
  <c r="B94" i="1"/>
  <c r="A94" i="1"/>
  <c r="AF93" i="1"/>
  <c r="AB93" i="1"/>
  <c r="AA93" i="1"/>
  <c r="R93" i="1"/>
  <c r="Q93" i="1"/>
  <c r="P93" i="1"/>
  <c r="O93" i="1"/>
  <c r="L93" i="1"/>
  <c r="K93" i="1"/>
  <c r="J93" i="1"/>
  <c r="I93" i="1"/>
  <c r="H93" i="1"/>
  <c r="G93" i="1"/>
  <c r="F93" i="1"/>
  <c r="E93" i="1"/>
  <c r="D93" i="1"/>
  <c r="C93" i="1"/>
  <c r="B93" i="1"/>
  <c r="A93" i="1"/>
  <c r="AF92" i="1"/>
  <c r="AB92" i="1"/>
  <c r="AA92" i="1"/>
  <c r="R92" i="1"/>
  <c r="Q92" i="1"/>
  <c r="P92" i="1"/>
  <c r="O92" i="1"/>
  <c r="L92" i="1"/>
  <c r="K92" i="1"/>
  <c r="J92" i="1"/>
  <c r="I92" i="1"/>
  <c r="H92" i="1"/>
  <c r="G92" i="1"/>
  <c r="F92" i="1"/>
  <c r="E92" i="1"/>
  <c r="D92" i="1"/>
  <c r="C92" i="1"/>
  <c r="B92" i="1"/>
  <c r="A92" i="1"/>
  <c r="AF91" i="1"/>
  <c r="AB91" i="1"/>
  <c r="AA91" i="1"/>
  <c r="S91" i="1"/>
  <c r="R91" i="1"/>
  <c r="P91" i="1"/>
  <c r="O91" i="1"/>
  <c r="L91" i="1"/>
  <c r="K91" i="1"/>
  <c r="J91" i="1"/>
  <c r="I91" i="1"/>
  <c r="H91" i="1"/>
  <c r="G91" i="1"/>
  <c r="F91" i="1"/>
  <c r="E91" i="1"/>
  <c r="D91" i="1"/>
  <c r="C91" i="1"/>
  <c r="B91" i="1"/>
  <c r="A91" i="1"/>
  <c r="AF90" i="1"/>
  <c r="AB90" i="1"/>
  <c r="AA90" i="1"/>
  <c r="R90" i="1"/>
  <c r="Q90" i="1"/>
  <c r="P90" i="1"/>
  <c r="O90" i="1"/>
  <c r="L90" i="1"/>
  <c r="K90" i="1"/>
  <c r="J90" i="1"/>
  <c r="I90" i="1"/>
  <c r="H90" i="1"/>
  <c r="G90" i="1"/>
  <c r="F90" i="1"/>
  <c r="E90" i="1"/>
  <c r="D90" i="1"/>
  <c r="C90" i="1"/>
  <c r="B90" i="1"/>
  <c r="A90" i="1"/>
  <c r="AF89" i="1"/>
  <c r="AB89" i="1"/>
  <c r="AA89" i="1"/>
  <c r="R89" i="1"/>
  <c r="P89" i="1"/>
  <c r="O89" i="1"/>
  <c r="L89" i="1"/>
  <c r="K89" i="1"/>
  <c r="J89" i="1"/>
  <c r="I89" i="1"/>
  <c r="H89" i="1"/>
  <c r="G89" i="1"/>
  <c r="F89" i="1"/>
  <c r="E89" i="1"/>
  <c r="D89" i="1"/>
  <c r="C89" i="1"/>
  <c r="B89" i="1"/>
  <c r="A89" i="1"/>
  <c r="AF88" i="1"/>
  <c r="AB88" i="1"/>
  <c r="AA88" i="1"/>
  <c r="R88" i="1"/>
  <c r="P88" i="1"/>
  <c r="O88" i="1"/>
  <c r="L88" i="1"/>
  <c r="K88" i="1"/>
  <c r="J88" i="1"/>
  <c r="I88" i="1"/>
  <c r="H88" i="1"/>
  <c r="G88" i="1"/>
  <c r="F88" i="1"/>
  <c r="E88" i="1"/>
  <c r="D88" i="1"/>
  <c r="C88" i="1"/>
  <c r="B88" i="1"/>
  <c r="A88" i="1"/>
  <c r="AF87" i="1"/>
  <c r="AB87" i="1"/>
  <c r="AA87" i="1"/>
  <c r="R87" i="1"/>
  <c r="P87" i="1"/>
  <c r="O87" i="1"/>
  <c r="L87" i="1"/>
  <c r="K87" i="1"/>
  <c r="J87" i="1"/>
  <c r="I87" i="1"/>
  <c r="H87" i="1"/>
  <c r="G87" i="1"/>
  <c r="F87" i="1"/>
  <c r="E87" i="1"/>
  <c r="D87" i="1"/>
  <c r="C87" i="1"/>
  <c r="B87" i="1"/>
  <c r="A87" i="1"/>
  <c r="AF86" i="1"/>
  <c r="AB86" i="1"/>
  <c r="AA86" i="1"/>
  <c r="R86" i="1"/>
  <c r="Q86" i="1"/>
  <c r="P86" i="1"/>
  <c r="O86" i="1"/>
  <c r="L86" i="1"/>
  <c r="K86" i="1"/>
  <c r="J86" i="1"/>
  <c r="I86" i="1"/>
  <c r="H86" i="1"/>
  <c r="G86" i="1"/>
  <c r="F86" i="1"/>
  <c r="E86" i="1"/>
  <c r="D86" i="1"/>
  <c r="C86" i="1"/>
  <c r="B86" i="1"/>
  <c r="A86" i="1"/>
  <c r="AF85" i="1"/>
  <c r="AB85" i="1"/>
  <c r="AA85" i="1"/>
  <c r="R85" i="1"/>
  <c r="P85" i="1"/>
  <c r="O85" i="1"/>
  <c r="L85" i="1"/>
  <c r="K85" i="1"/>
  <c r="J85" i="1"/>
  <c r="I85" i="1"/>
  <c r="H85" i="1"/>
  <c r="G85" i="1"/>
  <c r="F85" i="1"/>
  <c r="E85" i="1"/>
  <c r="D85" i="1"/>
  <c r="C85" i="1"/>
  <c r="B85" i="1"/>
  <c r="A85" i="1"/>
  <c r="AF84" i="1"/>
  <c r="AB84" i="1"/>
  <c r="AA84" i="1"/>
  <c r="R84" i="1"/>
  <c r="P84" i="1"/>
  <c r="O84" i="1"/>
  <c r="L84" i="1"/>
  <c r="K84" i="1"/>
  <c r="J84" i="1"/>
  <c r="I84" i="1"/>
  <c r="H84" i="1"/>
  <c r="G84" i="1"/>
  <c r="F84" i="1"/>
  <c r="E84" i="1"/>
  <c r="D84" i="1"/>
  <c r="C84" i="1"/>
  <c r="B84" i="1"/>
  <c r="A84" i="1"/>
  <c r="AF83" i="1"/>
  <c r="AB83" i="1"/>
  <c r="AA83" i="1"/>
  <c r="R83" i="1"/>
  <c r="P83" i="1"/>
  <c r="O83" i="1"/>
  <c r="L83" i="1"/>
  <c r="K83" i="1"/>
  <c r="J83" i="1"/>
  <c r="I83" i="1"/>
  <c r="H83" i="1"/>
  <c r="G83" i="1"/>
  <c r="F83" i="1"/>
  <c r="E83" i="1"/>
  <c r="D83" i="1"/>
  <c r="C83" i="1"/>
  <c r="B83" i="1"/>
  <c r="A83" i="1"/>
  <c r="AF82" i="1"/>
  <c r="AB82" i="1"/>
  <c r="AA82" i="1"/>
  <c r="R82" i="1"/>
  <c r="P82" i="1"/>
  <c r="O82" i="1"/>
  <c r="L82" i="1"/>
  <c r="K82" i="1"/>
  <c r="J82" i="1"/>
  <c r="I82" i="1"/>
  <c r="H82" i="1"/>
  <c r="G82" i="1"/>
  <c r="F82" i="1"/>
  <c r="E82" i="1"/>
  <c r="D82" i="1"/>
  <c r="C82" i="1"/>
  <c r="B82" i="1"/>
  <c r="A82" i="1"/>
  <c r="AF81" i="1"/>
  <c r="AB81" i="1"/>
  <c r="AA81" i="1"/>
  <c r="R81" i="1"/>
  <c r="P81" i="1"/>
  <c r="O81" i="1"/>
  <c r="L81" i="1"/>
  <c r="K81" i="1"/>
  <c r="J81" i="1"/>
  <c r="I81" i="1"/>
  <c r="H81" i="1"/>
  <c r="G81" i="1"/>
  <c r="F81" i="1"/>
  <c r="E81" i="1"/>
  <c r="D81" i="1"/>
  <c r="C81" i="1"/>
  <c r="B81" i="1"/>
  <c r="A81" i="1"/>
  <c r="AF80" i="1"/>
  <c r="AB80" i="1"/>
  <c r="AA80" i="1"/>
  <c r="R80" i="1"/>
  <c r="P80" i="1"/>
  <c r="O80" i="1"/>
  <c r="L80" i="1"/>
  <c r="K80" i="1"/>
  <c r="J80" i="1"/>
  <c r="I80" i="1"/>
  <c r="H80" i="1"/>
  <c r="G80" i="1"/>
  <c r="F80" i="1"/>
  <c r="E80" i="1"/>
  <c r="D80" i="1"/>
  <c r="C80" i="1"/>
  <c r="B80" i="1"/>
  <c r="A80" i="1"/>
  <c r="AF79" i="1"/>
  <c r="AB79" i="1"/>
  <c r="AA79" i="1"/>
  <c r="R79" i="1"/>
  <c r="Q79" i="1"/>
  <c r="P79" i="1"/>
  <c r="O79" i="1"/>
  <c r="L79" i="1"/>
  <c r="K79" i="1"/>
  <c r="J79" i="1"/>
  <c r="I79" i="1"/>
  <c r="H79" i="1"/>
  <c r="G79" i="1"/>
  <c r="F79" i="1"/>
  <c r="E79" i="1"/>
  <c r="D79" i="1"/>
  <c r="C79" i="1"/>
  <c r="B79" i="1"/>
  <c r="A79" i="1"/>
  <c r="AF78" i="1"/>
  <c r="AB78" i="1"/>
  <c r="AA78" i="1"/>
  <c r="R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F77" i="1"/>
  <c r="AB77" i="1"/>
  <c r="AA77" i="1"/>
  <c r="R77" i="1"/>
  <c r="P77" i="1"/>
  <c r="O77" i="1"/>
  <c r="L77" i="1"/>
  <c r="K77" i="1"/>
  <c r="J77" i="1"/>
  <c r="I77" i="1"/>
  <c r="H77" i="1"/>
  <c r="G77" i="1"/>
  <c r="F77" i="1"/>
  <c r="E77" i="1"/>
  <c r="D77" i="1"/>
  <c r="C77" i="1"/>
  <c r="B77" i="1"/>
  <c r="A77" i="1"/>
  <c r="AF76" i="1"/>
  <c r="AB76" i="1"/>
  <c r="AA76" i="1"/>
  <c r="R76" i="1"/>
  <c r="P76" i="1"/>
  <c r="O76" i="1"/>
  <c r="L76" i="1"/>
  <c r="K76" i="1"/>
  <c r="J76" i="1"/>
  <c r="I76" i="1"/>
  <c r="H76" i="1"/>
  <c r="G76" i="1"/>
  <c r="F76" i="1"/>
  <c r="E76" i="1"/>
  <c r="D76" i="1"/>
  <c r="C76" i="1"/>
  <c r="B76" i="1"/>
  <c r="A76" i="1"/>
  <c r="AF75" i="1"/>
  <c r="AB75" i="1"/>
  <c r="AA75" i="1"/>
  <c r="R75" i="1"/>
  <c r="P75" i="1"/>
  <c r="O75" i="1"/>
  <c r="L75" i="1"/>
  <c r="K75" i="1"/>
  <c r="J75" i="1"/>
  <c r="I75" i="1"/>
  <c r="H75" i="1"/>
  <c r="G75" i="1"/>
  <c r="F75" i="1"/>
  <c r="E75" i="1"/>
  <c r="D75" i="1"/>
  <c r="C75" i="1"/>
  <c r="B75" i="1"/>
  <c r="A75" i="1"/>
  <c r="AF74" i="1"/>
  <c r="AB74" i="1"/>
  <c r="AA74" i="1"/>
  <c r="R74" i="1"/>
  <c r="Q74" i="1"/>
  <c r="P74" i="1"/>
  <c r="O74" i="1"/>
  <c r="L74" i="1"/>
  <c r="K74" i="1"/>
  <c r="J74" i="1"/>
  <c r="I74" i="1"/>
  <c r="H74" i="1"/>
  <c r="G74" i="1"/>
  <c r="F74" i="1"/>
  <c r="E74" i="1"/>
  <c r="D74" i="1"/>
  <c r="C74" i="1"/>
  <c r="B74" i="1"/>
  <c r="A74" i="1"/>
  <c r="AF73" i="1"/>
  <c r="AB73" i="1"/>
  <c r="AA73" i="1"/>
  <c r="R73" i="1"/>
  <c r="Q73" i="1"/>
  <c r="P73" i="1"/>
  <c r="O73" i="1"/>
  <c r="L73" i="1"/>
  <c r="K73" i="1"/>
  <c r="J73" i="1"/>
  <c r="I73" i="1"/>
  <c r="H73" i="1"/>
  <c r="G73" i="1"/>
  <c r="F73" i="1"/>
  <c r="E73" i="1"/>
  <c r="D73" i="1"/>
  <c r="C73" i="1"/>
  <c r="B73" i="1"/>
  <c r="A73" i="1"/>
  <c r="AF72" i="1"/>
  <c r="AB72" i="1"/>
  <c r="AA72" i="1"/>
  <c r="R72" i="1"/>
  <c r="Q72" i="1"/>
  <c r="P72" i="1"/>
  <c r="O72" i="1"/>
  <c r="L72" i="1"/>
  <c r="K72" i="1"/>
  <c r="J72" i="1"/>
  <c r="I72" i="1"/>
  <c r="H72" i="1"/>
  <c r="G72" i="1"/>
  <c r="F72" i="1"/>
  <c r="E72" i="1"/>
  <c r="D72" i="1"/>
  <c r="C72" i="1"/>
  <c r="B72" i="1"/>
  <c r="A72" i="1"/>
  <c r="AF71" i="1"/>
  <c r="AB71" i="1"/>
  <c r="AA71" i="1"/>
  <c r="R71" i="1"/>
  <c r="Q71" i="1"/>
  <c r="P71" i="1"/>
  <c r="O71" i="1"/>
  <c r="L71" i="1"/>
  <c r="K71" i="1"/>
  <c r="J71" i="1"/>
  <c r="I71" i="1"/>
  <c r="H71" i="1"/>
  <c r="G71" i="1"/>
  <c r="F71" i="1"/>
  <c r="E71" i="1"/>
  <c r="D71" i="1"/>
  <c r="C71" i="1"/>
  <c r="B71" i="1"/>
  <c r="A71" i="1"/>
  <c r="AF70" i="1"/>
  <c r="AB70" i="1"/>
  <c r="AA70" i="1"/>
  <c r="R70" i="1"/>
  <c r="P70" i="1"/>
  <c r="O70" i="1"/>
  <c r="L70" i="1"/>
  <c r="K70" i="1"/>
  <c r="J70" i="1"/>
  <c r="I70" i="1"/>
  <c r="H70" i="1"/>
  <c r="G70" i="1"/>
  <c r="F70" i="1"/>
  <c r="E70" i="1"/>
  <c r="D70" i="1"/>
  <c r="C70" i="1"/>
  <c r="B70" i="1"/>
  <c r="A70" i="1"/>
  <c r="AF69" i="1"/>
  <c r="AB69" i="1"/>
  <c r="AA69" i="1"/>
  <c r="R69" i="1"/>
  <c r="P69" i="1"/>
  <c r="O69" i="1"/>
  <c r="L69" i="1"/>
  <c r="K69" i="1"/>
  <c r="J69" i="1"/>
  <c r="I69" i="1"/>
  <c r="H69" i="1"/>
  <c r="G69" i="1"/>
  <c r="F69" i="1"/>
  <c r="E69" i="1"/>
  <c r="D69" i="1"/>
  <c r="C69" i="1"/>
  <c r="B69" i="1"/>
  <c r="A69" i="1"/>
  <c r="AF68" i="1"/>
  <c r="AB68" i="1"/>
  <c r="AA68" i="1"/>
  <c r="R68" i="1"/>
  <c r="Q68" i="1"/>
  <c r="P68" i="1"/>
  <c r="O68" i="1"/>
  <c r="L68" i="1"/>
  <c r="K68" i="1"/>
  <c r="J68" i="1"/>
  <c r="I68" i="1"/>
  <c r="H68" i="1"/>
  <c r="G68" i="1"/>
  <c r="F68" i="1"/>
  <c r="E68" i="1"/>
  <c r="D68" i="1"/>
  <c r="C68" i="1"/>
  <c r="B68" i="1"/>
  <c r="A68" i="1"/>
  <c r="AF67" i="1"/>
  <c r="AB67" i="1"/>
  <c r="AA67" i="1"/>
  <c r="R67" i="1"/>
  <c r="P67" i="1"/>
  <c r="O67" i="1"/>
  <c r="L67" i="1"/>
  <c r="K67" i="1"/>
  <c r="J67" i="1"/>
  <c r="I67" i="1"/>
  <c r="H67" i="1"/>
  <c r="G67" i="1"/>
  <c r="F67" i="1"/>
  <c r="E67" i="1"/>
  <c r="D67" i="1"/>
  <c r="C67" i="1"/>
  <c r="B67" i="1"/>
  <c r="A67" i="1"/>
  <c r="AF66" i="1"/>
  <c r="AB66" i="1"/>
  <c r="AA66" i="1"/>
  <c r="R66" i="1"/>
  <c r="Q66" i="1"/>
  <c r="P66" i="1"/>
  <c r="O66" i="1"/>
  <c r="L66" i="1"/>
  <c r="K66" i="1"/>
  <c r="J66" i="1"/>
  <c r="I66" i="1"/>
  <c r="H66" i="1"/>
  <c r="G66" i="1"/>
  <c r="F66" i="1"/>
  <c r="E66" i="1"/>
  <c r="D66" i="1"/>
  <c r="C66" i="1"/>
  <c r="B66" i="1"/>
  <c r="A66" i="1"/>
  <c r="AF65" i="1"/>
  <c r="AB65" i="1"/>
  <c r="AA65" i="1"/>
  <c r="R65" i="1"/>
  <c r="P65" i="1"/>
  <c r="O65" i="1"/>
  <c r="L65" i="1"/>
  <c r="K65" i="1"/>
  <c r="J65" i="1"/>
  <c r="I65" i="1"/>
  <c r="H65" i="1"/>
  <c r="G65" i="1"/>
  <c r="F65" i="1"/>
  <c r="E65" i="1"/>
  <c r="D65" i="1"/>
  <c r="C65" i="1"/>
  <c r="B65" i="1"/>
  <c r="A65" i="1"/>
  <c r="AF64" i="1"/>
  <c r="AB64" i="1"/>
  <c r="AA64" i="1"/>
  <c r="R64" i="1"/>
  <c r="Q64" i="1"/>
  <c r="P64" i="1"/>
  <c r="O64" i="1"/>
  <c r="L64" i="1"/>
  <c r="K64" i="1"/>
  <c r="J64" i="1"/>
  <c r="I64" i="1"/>
  <c r="H64" i="1"/>
  <c r="G64" i="1"/>
  <c r="F64" i="1"/>
  <c r="E64" i="1"/>
  <c r="D64" i="1"/>
  <c r="C64" i="1"/>
  <c r="B64" i="1"/>
  <c r="A64" i="1"/>
  <c r="AF63" i="1"/>
  <c r="AB63" i="1"/>
  <c r="AA63" i="1"/>
  <c r="R63" i="1"/>
  <c r="P63" i="1"/>
  <c r="O63" i="1"/>
  <c r="L63" i="1"/>
  <c r="K63" i="1"/>
  <c r="J63" i="1"/>
  <c r="I63" i="1"/>
  <c r="H63" i="1"/>
  <c r="G63" i="1"/>
  <c r="F63" i="1"/>
  <c r="E63" i="1"/>
  <c r="D63" i="1"/>
  <c r="C63" i="1"/>
  <c r="B63" i="1"/>
  <c r="A63" i="1"/>
  <c r="AF62" i="1"/>
  <c r="AB62" i="1"/>
  <c r="AA62" i="1"/>
  <c r="R62" i="1"/>
  <c r="P62" i="1"/>
  <c r="O62" i="1"/>
  <c r="L62" i="1"/>
  <c r="K62" i="1"/>
  <c r="J62" i="1"/>
  <c r="I62" i="1"/>
  <c r="H62" i="1"/>
  <c r="G62" i="1"/>
  <c r="F62" i="1"/>
  <c r="E62" i="1"/>
  <c r="D62" i="1"/>
  <c r="C62" i="1"/>
  <c r="B62" i="1"/>
  <c r="A62" i="1"/>
  <c r="AF61" i="1"/>
  <c r="AB61" i="1"/>
  <c r="AA61" i="1"/>
  <c r="R61" i="1"/>
  <c r="P61" i="1"/>
  <c r="O61" i="1"/>
  <c r="L61" i="1"/>
  <c r="K61" i="1"/>
  <c r="J61" i="1"/>
  <c r="I61" i="1"/>
  <c r="H61" i="1"/>
  <c r="G61" i="1"/>
  <c r="F61" i="1"/>
  <c r="E61" i="1"/>
  <c r="D61" i="1"/>
  <c r="C61" i="1"/>
  <c r="B61" i="1"/>
  <c r="A61" i="1"/>
  <c r="AF60" i="1"/>
  <c r="AB60" i="1"/>
  <c r="AA60" i="1"/>
  <c r="S60" i="1"/>
  <c r="R60" i="1"/>
  <c r="P60" i="1"/>
  <c r="O60" i="1"/>
  <c r="L60" i="1"/>
  <c r="K60" i="1"/>
  <c r="J60" i="1"/>
  <c r="I60" i="1"/>
  <c r="H60" i="1"/>
  <c r="G60" i="1"/>
  <c r="F60" i="1"/>
  <c r="E60" i="1"/>
  <c r="D60" i="1"/>
  <c r="C60" i="1"/>
  <c r="B60" i="1"/>
  <c r="A60" i="1"/>
  <c r="AF59" i="1"/>
  <c r="AB59" i="1"/>
  <c r="AA59" i="1"/>
  <c r="R59" i="1"/>
  <c r="Q59" i="1"/>
  <c r="P59" i="1"/>
  <c r="O59" i="1"/>
  <c r="N59" i="1"/>
  <c r="M59" i="1"/>
  <c r="J59" i="1"/>
  <c r="I59" i="1"/>
  <c r="H59" i="1"/>
  <c r="G59" i="1"/>
  <c r="F59" i="1"/>
  <c r="E59" i="1"/>
  <c r="D59" i="1"/>
  <c r="C59" i="1"/>
  <c r="B59" i="1"/>
  <c r="A59" i="1"/>
  <c r="AF58" i="1"/>
  <c r="AB58" i="1"/>
  <c r="AA58" i="1"/>
  <c r="R58" i="1"/>
  <c r="Q58" i="1"/>
  <c r="P58" i="1"/>
  <c r="O58" i="1"/>
  <c r="N58" i="1"/>
  <c r="M58" i="1"/>
  <c r="J58" i="1"/>
  <c r="I58" i="1"/>
  <c r="H58" i="1"/>
  <c r="G58" i="1"/>
  <c r="F58" i="1"/>
  <c r="E58" i="1"/>
  <c r="D58" i="1"/>
  <c r="C58" i="1"/>
  <c r="B58" i="1"/>
  <c r="A58" i="1"/>
  <c r="AF57" i="1"/>
  <c r="AB57" i="1"/>
  <c r="AA57" i="1"/>
  <c r="R57" i="1"/>
  <c r="P57" i="1"/>
  <c r="O57" i="1"/>
  <c r="L57" i="1"/>
  <c r="K57" i="1"/>
  <c r="J57" i="1"/>
  <c r="I57" i="1"/>
  <c r="H57" i="1"/>
  <c r="G57" i="1"/>
  <c r="F57" i="1"/>
  <c r="E57" i="1"/>
  <c r="D57" i="1"/>
  <c r="C57" i="1"/>
  <c r="B57" i="1"/>
  <c r="A57" i="1"/>
  <c r="AF56" i="1"/>
  <c r="AB56" i="1"/>
  <c r="AA56" i="1"/>
  <c r="R56" i="1"/>
  <c r="Q56" i="1"/>
  <c r="P56" i="1"/>
  <c r="O56" i="1"/>
  <c r="N56" i="1"/>
  <c r="M56" i="1"/>
  <c r="J56" i="1"/>
  <c r="I56" i="1"/>
  <c r="H56" i="1"/>
  <c r="G56" i="1"/>
  <c r="F56" i="1"/>
  <c r="E56" i="1"/>
  <c r="D56" i="1"/>
  <c r="C56" i="1"/>
  <c r="B56" i="1"/>
  <c r="A56" i="1"/>
  <c r="AF55" i="1"/>
  <c r="AB55" i="1"/>
  <c r="AA55" i="1"/>
  <c r="R55" i="1"/>
  <c r="Q55" i="1"/>
  <c r="P55" i="1"/>
  <c r="O55" i="1"/>
  <c r="L55" i="1"/>
  <c r="K55" i="1"/>
  <c r="J55" i="1"/>
  <c r="I55" i="1"/>
  <c r="H55" i="1"/>
  <c r="G55" i="1"/>
  <c r="F55" i="1"/>
  <c r="E55" i="1"/>
  <c r="D55" i="1"/>
  <c r="C55" i="1"/>
  <c r="B55" i="1"/>
  <c r="A55" i="1"/>
  <c r="AF54" i="1"/>
  <c r="AB54" i="1"/>
  <c r="AA54" i="1"/>
  <c r="R54" i="1"/>
  <c r="P54" i="1"/>
  <c r="O54" i="1"/>
  <c r="L54" i="1"/>
  <c r="K54" i="1"/>
  <c r="J54" i="1"/>
  <c r="I54" i="1"/>
  <c r="H54" i="1"/>
  <c r="G54" i="1"/>
  <c r="F54" i="1"/>
  <c r="E54" i="1"/>
  <c r="D54" i="1"/>
  <c r="C54" i="1"/>
  <c r="B54" i="1"/>
  <c r="A54" i="1"/>
  <c r="AF53" i="1"/>
  <c r="AB53" i="1"/>
  <c r="AA53" i="1"/>
  <c r="R53" i="1"/>
  <c r="Q53" i="1"/>
  <c r="P53" i="1"/>
  <c r="O53" i="1"/>
  <c r="L53" i="1"/>
  <c r="K53" i="1"/>
  <c r="J53" i="1"/>
  <c r="I53" i="1"/>
  <c r="H53" i="1"/>
  <c r="G53" i="1"/>
  <c r="F53" i="1"/>
  <c r="E53" i="1"/>
  <c r="D53" i="1"/>
  <c r="C53" i="1"/>
  <c r="B53" i="1"/>
  <c r="A53" i="1"/>
  <c r="AF52" i="1"/>
  <c r="AB52" i="1"/>
  <c r="AA52" i="1"/>
  <c r="R52" i="1"/>
  <c r="Q52" i="1"/>
  <c r="P52" i="1"/>
  <c r="O52" i="1"/>
  <c r="L52" i="1"/>
  <c r="K52" i="1"/>
  <c r="J52" i="1"/>
  <c r="I52" i="1"/>
  <c r="H52" i="1"/>
  <c r="G52" i="1"/>
  <c r="F52" i="1"/>
  <c r="E52" i="1"/>
  <c r="D52" i="1"/>
  <c r="C52" i="1"/>
  <c r="B52" i="1"/>
  <c r="A52" i="1"/>
  <c r="AF51" i="1"/>
  <c r="AB51" i="1"/>
  <c r="AA51" i="1"/>
  <c r="S51" i="1"/>
  <c r="R51" i="1"/>
  <c r="P51" i="1"/>
  <c r="O51" i="1"/>
  <c r="L51" i="1"/>
  <c r="K51" i="1"/>
  <c r="J51" i="1"/>
  <c r="I51" i="1"/>
  <c r="H51" i="1"/>
  <c r="G51" i="1"/>
  <c r="F51" i="1"/>
  <c r="E51" i="1"/>
  <c r="D51" i="1"/>
  <c r="C51" i="1"/>
  <c r="B51" i="1"/>
  <c r="A51" i="1"/>
  <c r="AF50" i="1"/>
  <c r="AB50" i="1"/>
  <c r="AA50" i="1"/>
  <c r="R50" i="1"/>
  <c r="Q50" i="1"/>
  <c r="P50" i="1"/>
  <c r="O50" i="1"/>
  <c r="L50" i="1"/>
  <c r="K50" i="1"/>
  <c r="J50" i="1"/>
  <c r="I50" i="1"/>
  <c r="H50" i="1"/>
  <c r="G50" i="1"/>
  <c r="F50" i="1"/>
  <c r="E50" i="1"/>
  <c r="D50" i="1"/>
  <c r="C50" i="1"/>
  <c r="B50" i="1"/>
  <c r="A50" i="1"/>
  <c r="AF49" i="1"/>
  <c r="AB49" i="1"/>
  <c r="AA49" i="1"/>
  <c r="R49" i="1"/>
  <c r="P49" i="1"/>
  <c r="O49" i="1"/>
  <c r="L49" i="1"/>
  <c r="K49" i="1"/>
  <c r="J49" i="1"/>
  <c r="I49" i="1"/>
  <c r="H49" i="1"/>
  <c r="G49" i="1"/>
  <c r="F49" i="1"/>
  <c r="E49" i="1"/>
  <c r="D49" i="1"/>
  <c r="C49" i="1"/>
  <c r="B49" i="1"/>
  <c r="A49" i="1"/>
  <c r="AF48" i="1"/>
  <c r="AB48" i="1"/>
  <c r="AA48" i="1"/>
  <c r="R48" i="1"/>
  <c r="P48" i="1"/>
  <c r="O48" i="1"/>
  <c r="L48" i="1"/>
  <c r="K48" i="1"/>
  <c r="J48" i="1"/>
  <c r="I48" i="1"/>
  <c r="H48" i="1"/>
  <c r="G48" i="1"/>
  <c r="F48" i="1"/>
  <c r="E48" i="1"/>
  <c r="D48" i="1"/>
  <c r="C48" i="1"/>
  <c r="B48" i="1"/>
  <c r="A48" i="1"/>
  <c r="AF47" i="1"/>
  <c r="AB47" i="1"/>
  <c r="AA47" i="1"/>
  <c r="R47" i="1"/>
  <c r="Q47" i="1"/>
  <c r="P47" i="1"/>
  <c r="O47" i="1"/>
  <c r="L47" i="1"/>
  <c r="K47" i="1"/>
  <c r="J47" i="1"/>
  <c r="I47" i="1"/>
  <c r="H47" i="1"/>
  <c r="G47" i="1"/>
  <c r="F47" i="1"/>
  <c r="E47" i="1"/>
  <c r="D47" i="1"/>
  <c r="C47" i="1"/>
  <c r="B47" i="1"/>
  <c r="A47" i="1"/>
  <c r="AF46" i="1"/>
  <c r="AB46" i="1"/>
  <c r="AA46" i="1"/>
  <c r="R46" i="1"/>
  <c r="P46" i="1"/>
  <c r="O46" i="1"/>
  <c r="L46" i="1"/>
  <c r="K46" i="1"/>
  <c r="J46" i="1"/>
  <c r="I46" i="1"/>
  <c r="H46" i="1"/>
  <c r="G46" i="1"/>
  <c r="F46" i="1"/>
  <c r="E46" i="1"/>
  <c r="D46" i="1"/>
  <c r="C46" i="1"/>
  <c r="B46" i="1"/>
  <c r="A46" i="1"/>
  <c r="AF45" i="1"/>
  <c r="AB45" i="1"/>
  <c r="AA45" i="1"/>
  <c r="R45" i="1"/>
  <c r="Q45" i="1"/>
  <c r="P45" i="1"/>
  <c r="O45" i="1"/>
  <c r="L45" i="1"/>
  <c r="K45" i="1"/>
  <c r="J45" i="1"/>
  <c r="I45" i="1"/>
  <c r="H45" i="1"/>
  <c r="G45" i="1"/>
  <c r="F45" i="1"/>
  <c r="E45" i="1"/>
  <c r="D45" i="1"/>
  <c r="C45" i="1"/>
  <c r="B45" i="1"/>
  <c r="A45" i="1"/>
  <c r="AF44" i="1"/>
  <c r="AB44" i="1"/>
  <c r="AA44" i="1"/>
  <c r="R44" i="1"/>
  <c r="P44" i="1"/>
  <c r="O44" i="1"/>
  <c r="L44" i="1"/>
  <c r="K44" i="1"/>
  <c r="J44" i="1"/>
  <c r="I44" i="1"/>
  <c r="H44" i="1"/>
  <c r="G44" i="1"/>
  <c r="F44" i="1"/>
  <c r="E44" i="1"/>
  <c r="D44" i="1"/>
  <c r="C44" i="1"/>
  <c r="B44" i="1"/>
  <c r="A44" i="1"/>
  <c r="AF43" i="1"/>
  <c r="AB43" i="1"/>
  <c r="AA43" i="1"/>
  <c r="R43" i="1"/>
  <c r="Q43" i="1"/>
  <c r="P43" i="1"/>
  <c r="O43" i="1"/>
  <c r="L43" i="1"/>
  <c r="K43" i="1"/>
  <c r="J43" i="1"/>
  <c r="I43" i="1"/>
  <c r="H43" i="1"/>
  <c r="G43" i="1"/>
  <c r="F43" i="1"/>
  <c r="E43" i="1"/>
  <c r="D43" i="1"/>
  <c r="C43" i="1"/>
  <c r="B43" i="1"/>
  <c r="A43" i="1"/>
  <c r="AF42" i="1"/>
  <c r="AB42" i="1"/>
  <c r="AA42" i="1"/>
  <c r="S42" i="1"/>
  <c r="R42" i="1"/>
  <c r="P42" i="1"/>
  <c r="O42" i="1"/>
  <c r="L42" i="1"/>
  <c r="K42" i="1"/>
  <c r="J42" i="1"/>
  <c r="I42" i="1"/>
  <c r="H42" i="1"/>
  <c r="G42" i="1"/>
  <c r="F42" i="1"/>
  <c r="E42" i="1"/>
  <c r="D42" i="1"/>
  <c r="C42" i="1"/>
  <c r="B42" i="1"/>
  <c r="A42" i="1"/>
  <c r="AF41" i="1"/>
  <c r="AB41" i="1"/>
  <c r="AA41" i="1"/>
  <c r="R41" i="1"/>
  <c r="Q41" i="1"/>
  <c r="P41" i="1"/>
  <c r="O41" i="1"/>
  <c r="L41" i="1"/>
  <c r="K41" i="1"/>
  <c r="J41" i="1"/>
  <c r="I41" i="1"/>
  <c r="H41" i="1"/>
  <c r="G41" i="1"/>
  <c r="F41" i="1"/>
  <c r="E41" i="1"/>
  <c r="D41" i="1"/>
  <c r="C41" i="1"/>
  <c r="B41" i="1"/>
  <c r="A41" i="1"/>
  <c r="AF40" i="1"/>
  <c r="AB40" i="1"/>
  <c r="AA40" i="1"/>
  <c r="T40" i="1"/>
  <c r="R40" i="1"/>
  <c r="Q40" i="1"/>
  <c r="P40" i="1"/>
  <c r="O40" i="1"/>
  <c r="L40" i="1"/>
  <c r="K40" i="1"/>
  <c r="J40" i="1"/>
  <c r="I40" i="1"/>
  <c r="H40" i="1"/>
  <c r="G40" i="1"/>
  <c r="F40" i="1"/>
  <c r="E40" i="1"/>
  <c r="D40" i="1"/>
  <c r="C40" i="1"/>
  <c r="B40" i="1"/>
  <c r="A40" i="1"/>
  <c r="AF39" i="1"/>
  <c r="AB39" i="1"/>
  <c r="AA39" i="1"/>
  <c r="T39" i="1"/>
  <c r="R39" i="1"/>
  <c r="P39" i="1"/>
  <c r="O39" i="1"/>
  <c r="L39" i="1"/>
  <c r="K39" i="1"/>
  <c r="J39" i="1"/>
  <c r="I39" i="1"/>
  <c r="H39" i="1"/>
  <c r="G39" i="1"/>
  <c r="F39" i="1"/>
  <c r="E39" i="1"/>
  <c r="C39" i="1"/>
  <c r="B39" i="1"/>
  <c r="A39" i="1"/>
  <c r="AF38" i="1"/>
  <c r="AB38" i="1"/>
  <c r="AA38" i="1"/>
  <c r="T38" i="1"/>
  <c r="R38" i="1"/>
  <c r="Q38" i="1"/>
  <c r="P38" i="1"/>
  <c r="O38" i="1"/>
  <c r="L38" i="1"/>
  <c r="K38" i="1"/>
  <c r="J38" i="1"/>
  <c r="I38" i="1"/>
  <c r="H38" i="1"/>
  <c r="G38" i="1"/>
  <c r="F38" i="1"/>
  <c r="E38" i="1"/>
  <c r="D38" i="1"/>
  <c r="C38" i="1"/>
  <c r="B38" i="1"/>
  <c r="A38" i="1"/>
  <c r="AG37" i="1"/>
  <c r="AF37" i="1"/>
  <c r="AB37" i="1"/>
  <c r="AA37" i="1"/>
  <c r="T37" i="1"/>
  <c r="S37" i="1"/>
  <c r="R37" i="1"/>
  <c r="Q37" i="1"/>
  <c r="P37" i="1"/>
  <c r="O37" i="1"/>
  <c r="L37" i="1"/>
  <c r="K37" i="1"/>
  <c r="J37" i="1"/>
  <c r="I37" i="1"/>
  <c r="H37" i="1"/>
  <c r="G37" i="1"/>
  <c r="F37" i="1"/>
  <c r="E37" i="1"/>
  <c r="D37" i="1"/>
  <c r="C37" i="1"/>
  <c r="B37" i="1"/>
  <c r="A37" i="1"/>
  <c r="AG36" i="1"/>
  <c r="AF36" i="1"/>
  <c r="AB36" i="1"/>
  <c r="AA36" i="1"/>
  <c r="T36" i="1"/>
  <c r="R36" i="1"/>
  <c r="P36" i="1"/>
  <c r="O36" i="1"/>
  <c r="L36" i="1"/>
  <c r="K36" i="1"/>
  <c r="J36" i="1"/>
  <c r="I36" i="1"/>
  <c r="H36" i="1"/>
  <c r="G36" i="1"/>
  <c r="F36" i="1"/>
  <c r="E36" i="1"/>
  <c r="D36" i="1"/>
  <c r="C36" i="1"/>
  <c r="B36" i="1"/>
  <c r="A36" i="1"/>
  <c r="AF35" i="1"/>
  <c r="AB35" i="1"/>
  <c r="AA35" i="1"/>
  <c r="T35" i="1"/>
  <c r="R35" i="1"/>
  <c r="P35" i="1"/>
  <c r="O35" i="1"/>
  <c r="L35" i="1"/>
  <c r="K35" i="1"/>
  <c r="J35" i="1"/>
  <c r="I35" i="1"/>
  <c r="H35" i="1"/>
  <c r="G35" i="1"/>
  <c r="F35" i="1"/>
  <c r="E35" i="1"/>
  <c r="D35" i="1"/>
  <c r="C35" i="1"/>
  <c r="B35" i="1"/>
  <c r="A35" i="1"/>
  <c r="AF34" i="1"/>
  <c r="AB34" i="1"/>
  <c r="AA34" i="1"/>
  <c r="T34" i="1"/>
  <c r="R34" i="1"/>
  <c r="Q34" i="1"/>
  <c r="P34" i="1"/>
  <c r="O34" i="1"/>
  <c r="L34" i="1"/>
  <c r="K34" i="1"/>
  <c r="J34" i="1"/>
  <c r="I34" i="1"/>
  <c r="H34" i="1"/>
  <c r="G34" i="1"/>
  <c r="F34" i="1"/>
  <c r="E34" i="1"/>
  <c r="D34" i="1"/>
  <c r="C34" i="1"/>
  <c r="B34" i="1"/>
  <c r="A34" i="1"/>
  <c r="AF33" i="1"/>
  <c r="AB33" i="1"/>
  <c r="AA33" i="1"/>
  <c r="T33" i="1"/>
  <c r="R33" i="1"/>
  <c r="Q33" i="1"/>
  <c r="P33" i="1"/>
  <c r="O33" i="1"/>
  <c r="L33" i="1"/>
  <c r="K33" i="1"/>
  <c r="J33" i="1"/>
  <c r="I33" i="1"/>
  <c r="H33" i="1"/>
  <c r="G33" i="1"/>
  <c r="F33" i="1"/>
  <c r="E33" i="1"/>
  <c r="D33" i="1"/>
  <c r="C33" i="1"/>
  <c r="B33" i="1"/>
  <c r="A33" i="1"/>
  <c r="AF32" i="1"/>
  <c r="AB32" i="1"/>
  <c r="AA32" i="1"/>
  <c r="T32" i="1"/>
  <c r="R32" i="1"/>
  <c r="Q32" i="1"/>
  <c r="P32" i="1"/>
  <c r="O32" i="1"/>
  <c r="L32" i="1"/>
  <c r="K32" i="1"/>
  <c r="J32" i="1"/>
  <c r="I32" i="1"/>
  <c r="H32" i="1"/>
  <c r="G32" i="1"/>
  <c r="F32" i="1"/>
  <c r="E32" i="1"/>
  <c r="D32" i="1"/>
  <c r="C32" i="1"/>
  <c r="B32" i="1"/>
  <c r="A32" i="1"/>
  <c r="AF31" i="1"/>
  <c r="AB31" i="1"/>
  <c r="AA31" i="1"/>
  <c r="T31" i="1"/>
  <c r="S31" i="1"/>
  <c r="R31" i="1"/>
  <c r="Q31" i="1"/>
  <c r="P31" i="1"/>
  <c r="O31" i="1"/>
  <c r="L31" i="1"/>
  <c r="K31" i="1"/>
  <c r="J31" i="1"/>
  <c r="I31" i="1"/>
  <c r="H31" i="1"/>
  <c r="G31" i="1"/>
  <c r="F31" i="1"/>
  <c r="E31" i="1"/>
  <c r="D31" i="1"/>
  <c r="C31" i="1"/>
  <c r="B31" i="1"/>
  <c r="A31" i="1"/>
  <c r="AF30" i="1"/>
  <c r="AB30" i="1"/>
  <c r="AA30" i="1"/>
  <c r="T30" i="1"/>
  <c r="R30" i="1"/>
  <c r="Q30" i="1"/>
  <c r="P30" i="1"/>
  <c r="O30" i="1"/>
  <c r="L30" i="1"/>
  <c r="K30" i="1"/>
  <c r="J30" i="1"/>
  <c r="I30" i="1"/>
  <c r="H30" i="1"/>
  <c r="G30" i="1"/>
  <c r="F30" i="1"/>
  <c r="E30" i="1"/>
  <c r="D30" i="1"/>
  <c r="C30" i="1"/>
  <c r="B30" i="1"/>
  <c r="A30" i="1"/>
  <c r="AF29" i="1"/>
  <c r="AB29" i="1"/>
  <c r="AA29" i="1"/>
  <c r="T29" i="1"/>
  <c r="S29" i="1"/>
  <c r="R29" i="1"/>
  <c r="Q29" i="1"/>
  <c r="P29" i="1"/>
  <c r="O29" i="1"/>
  <c r="L29" i="1"/>
  <c r="K29" i="1"/>
  <c r="J29" i="1"/>
  <c r="I29" i="1"/>
  <c r="H29" i="1"/>
  <c r="G29" i="1"/>
  <c r="F29" i="1"/>
  <c r="E29" i="1"/>
  <c r="D29" i="1"/>
  <c r="C29" i="1"/>
  <c r="B29" i="1"/>
  <c r="A29" i="1"/>
  <c r="AG28" i="1"/>
  <c r="AF28" i="1"/>
  <c r="AB28" i="1"/>
  <c r="AA28" i="1"/>
  <c r="T28" i="1"/>
  <c r="S28" i="1"/>
  <c r="R28" i="1"/>
  <c r="Q28" i="1"/>
  <c r="P28" i="1"/>
  <c r="O28" i="1"/>
  <c r="L28" i="1"/>
  <c r="K28" i="1"/>
  <c r="J28" i="1"/>
  <c r="I28" i="1"/>
  <c r="H28" i="1"/>
  <c r="G28" i="1"/>
  <c r="F28" i="1"/>
  <c r="E28" i="1"/>
  <c r="D28" i="1"/>
  <c r="C28" i="1"/>
  <c r="B28" i="1"/>
  <c r="A28" i="1"/>
  <c r="AF27" i="1"/>
  <c r="AB27" i="1"/>
  <c r="AA27" i="1"/>
  <c r="T27" i="1"/>
  <c r="R27" i="1"/>
  <c r="P27" i="1"/>
  <c r="O27" i="1"/>
  <c r="L27" i="1"/>
  <c r="K27" i="1"/>
  <c r="J27" i="1"/>
  <c r="I27" i="1"/>
  <c r="H27" i="1"/>
  <c r="G27" i="1"/>
  <c r="F27" i="1"/>
  <c r="E27" i="1"/>
  <c r="D27" i="1"/>
  <c r="C27" i="1"/>
  <c r="B27" i="1"/>
  <c r="A27" i="1"/>
  <c r="AF26" i="1"/>
  <c r="AB26" i="1"/>
  <c r="AA26" i="1"/>
  <c r="T26" i="1"/>
  <c r="R26" i="1"/>
  <c r="P26" i="1"/>
  <c r="O26" i="1"/>
  <c r="L26" i="1"/>
  <c r="K26" i="1"/>
  <c r="J26" i="1"/>
  <c r="I26" i="1"/>
  <c r="H26" i="1"/>
  <c r="G26" i="1"/>
  <c r="F26" i="1"/>
  <c r="E26" i="1"/>
  <c r="D26" i="1"/>
  <c r="C26" i="1"/>
  <c r="B26" i="1"/>
  <c r="A26" i="1"/>
  <c r="AF25" i="1"/>
  <c r="AB25" i="1"/>
  <c r="AA25" i="1"/>
  <c r="T25" i="1"/>
  <c r="S25" i="1"/>
  <c r="R25" i="1"/>
  <c r="Q25" i="1"/>
  <c r="P25" i="1"/>
  <c r="O25" i="1"/>
  <c r="L25" i="1"/>
  <c r="K25" i="1"/>
  <c r="J25" i="1"/>
  <c r="I25" i="1"/>
  <c r="H25" i="1"/>
  <c r="G25" i="1"/>
  <c r="F25" i="1"/>
  <c r="E25" i="1"/>
  <c r="D25" i="1"/>
  <c r="C25" i="1"/>
  <c r="B25" i="1"/>
  <c r="A25" i="1"/>
  <c r="AF24" i="1"/>
  <c r="AB24" i="1"/>
  <c r="AA24" i="1"/>
  <c r="T24" i="1"/>
  <c r="R24" i="1"/>
  <c r="Q24" i="1"/>
  <c r="P24" i="1"/>
  <c r="O24" i="1"/>
  <c r="L24" i="1"/>
  <c r="K24" i="1"/>
  <c r="J24" i="1"/>
  <c r="I24" i="1"/>
  <c r="H24" i="1"/>
  <c r="G24" i="1"/>
  <c r="F24" i="1"/>
  <c r="E24" i="1"/>
  <c r="D24" i="1"/>
  <c r="C24" i="1"/>
  <c r="B24" i="1"/>
  <c r="A24" i="1"/>
  <c r="AF23" i="1"/>
  <c r="AB23" i="1"/>
  <c r="AA23" i="1"/>
  <c r="T23" i="1"/>
  <c r="R23" i="1"/>
  <c r="P23" i="1"/>
  <c r="O23" i="1"/>
  <c r="L23" i="1"/>
  <c r="K23" i="1"/>
  <c r="J23" i="1"/>
  <c r="I23" i="1"/>
  <c r="H23" i="1"/>
  <c r="G23" i="1"/>
  <c r="F23" i="1"/>
  <c r="E23" i="1"/>
  <c r="D23" i="1"/>
  <c r="C23" i="1"/>
  <c r="B23" i="1"/>
  <c r="A23" i="1"/>
  <c r="AF22" i="1"/>
  <c r="AB22" i="1"/>
  <c r="AA22" i="1"/>
  <c r="T22" i="1"/>
  <c r="S22" i="1"/>
  <c r="R22" i="1"/>
  <c r="Q22" i="1"/>
  <c r="P22" i="1"/>
  <c r="O22" i="1"/>
  <c r="L22" i="1"/>
  <c r="K22" i="1"/>
  <c r="J22" i="1"/>
  <c r="I22" i="1"/>
  <c r="H22" i="1"/>
  <c r="G22" i="1"/>
  <c r="F22" i="1"/>
  <c r="E22" i="1"/>
  <c r="D22" i="1"/>
  <c r="C22" i="1"/>
  <c r="B22" i="1"/>
  <c r="A22" i="1"/>
  <c r="AF21" i="1"/>
  <c r="AB21" i="1"/>
  <c r="AA21" i="1"/>
  <c r="T21" i="1"/>
  <c r="R21" i="1"/>
  <c r="P21" i="1"/>
  <c r="O21" i="1"/>
  <c r="L21" i="1"/>
  <c r="K21" i="1"/>
  <c r="J21" i="1"/>
  <c r="I21" i="1"/>
  <c r="H21" i="1"/>
  <c r="G21" i="1"/>
  <c r="F21" i="1"/>
  <c r="E21" i="1"/>
  <c r="D21" i="1"/>
  <c r="C21" i="1"/>
  <c r="B21" i="1"/>
  <c r="A21" i="1"/>
  <c r="AG20" i="1"/>
  <c r="AF20" i="1"/>
  <c r="AB20" i="1"/>
  <c r="AA20" i="1"/>
  <c r="T20" i="1"/>
  <c r="R20" i="1"/>
  <c r="Q20" i="1"/>
  <c r="P20" i="1"/>
  <c r="O20" i="1"/>
  <c r="L20" i="1"/>
  <c r="K20" i="1"/>
  <c r="J20" i="1"/>
  <c r="I20" i="1"/>
  <c r="H20" i="1"/>
  <c r="G20" i="1"/>
  <c r="F20" i="1"/>
  <c r="E20" i="1"/>
  <c r="D20" i="1"/>
  <c r="C20" i="1"/>
  <c r="B20" i="1"/>
  <c r="A20" i="1"/>
  <c r="AF19" i="1"/>
  <c r="AB19" i="1"/>
  <c r="AA19" i="1"/>
  <c r="T19" i="1"/>
  <c r="R19" i="1"/>
  <c r="P19" i="1"/>
  <c r="O19" i="1"/>
  <c r="L19" i="1"/>
  <c r="K19" i="1"/>
  <c r="J19" i="1"/>
  <c r="I19" i="1"/>
  <c r="H19" i="1"/>
  <c r="G19" i="1"/>
  <c r="F19" i="1"/>
  <c r="E19" i="1"/>
  <c r="D19" i="1"/>
  <c r="C19" i="1"/>
  <c r="B19" i="1"/>
  <c r="A19" i="1"/>
  <c r="AF18" i="1"/>
  <c r="AB18" i="1"/>
  <c r="AA18" i="1"/>
  <c r="T18" i="1"/>
  <c r="R18" i="1"/>
  <c r="Q18" i="1"/>
  <c r="P18" i="1"/>
  <c r="O18" i="1"/>
  <c r="L18" i="1"/>
  <c r="K18" i="1"/>
  <c r="J18" i="1"/>
  <c r="I18" i="1"/>
  <c r="H18" i="1"/>
  <c r="G18" i="1"/>
  <c r="F18" i="1"/>
  <c r="E18" i="1"/>
  <c r="D18" i="1"/>
  <c r="C18" i="1"/>
  <c r="B18" i="1"/>
  <c r="A18" i="1"/>
  <c r="AF17" i="1"/>
  <c r="AB17" i="1"/>
  <c r="AA17" i="1"/>
  <c r="T17" i="1"/>
  <c r="R17" i="1"/>
  <c r="Q17" i="1"/>
  <c r="P17" i="1"/>
  <c r="O17" i="1"/>
  <c r="L17" i="1"/>
  <c r="K17" i="1"/>
  <c r="J17" i="1"/>
  <c r="I17" i="1"/>
  <c r="H17" i="1"/>
  <c r="G17" i="1"/>
  <c r="F17" i="1"/>
  <c r="E17" i="1"/>
  <c r="D17" i="1"/>
  <c r="C17" i="1"/>
  <c r="B17" i="1"/>
  <c r="A17" i="1"/>
  <c r="AF16" i="1"/>
  <c r="AB16" i="1"/>
  <c r="AA16" i="1"/>
  <c r="U16" i="1"/>
  <c r="T16" i="1"/>
  <c r="R16" i="1"/>
  <c r="Q16" i="1"/>
  <c r="P16" i="1"/>
  <c r="O16" i="1"/>
  <c r="L16" i="1"/>
  <c r="K16" i="1"/>
  <c r="J16" i="1"/>
  <c r="I16" i="1"/>
  <c r="H16" i="1"/>
  <c r="G16" i="1"/>
  <c r="F16" i="1"/>
  <c r="E16" i="1"/>
  <c r="D16" i="1"/>
  <c r="C16" i="1"/>
  <c r="B16" i="1"/>
  <c r="A16" i="1"/>
  <c r="AF15" i="1"/>
  <c r="AB15" i="1"/>
  <c r="AA15" i="1"/>
  <c r="T15" i="1"/>
  <c r="S15" i="1"/>
  <c r="R15" i="1"/>
  <c r="Q15" i="1"/>
  <c r="P15" i="1"/>
  <c r="O15" i="1"/>
  <c r="L15" i="1"/>
  <c r="K15" i="1"/>
  <c r="J15" i="1"/>
  <c r="I15" i="1"/>
  <c r="H15" i="1"/>
  <c r="G15" i="1"/>
  <c r="F15" i="1"/>
  <c r="E15" i="1"/>
  <c r="D15" i="1"/>
  <c r="C15" i="1"/>
  <c r="B15" i="1"/>
  <c r="A15" i="1"/>
  <c r="AG14" i="1"/>
  <c r="AF14" i="1"/>
  <c r="AB14" i="1"/>
  <c r="AA14" i="1"/>
  <c r="T14" i="1"/>
  <c r="R14" i="1"/>
  <c r="Q14" i="1"/>
  <c r="P14" i="1"/>
  <c r="O14" i="1"/>
  <c r="L14" i="1"/>
  <c r="K14" i="1"/>
  <c r="J14" i="1"/>
  <c r="I14" i="1"/>
  <c r="H14" i="1"/>
  <c r="G14" i="1"/>
  <c r="F14" i="1"/>
  <c r="E14" i="1"/>
  <c r="D14" i="1"/>
  <c r="C14" i="1"/>
  <c r="B14" i="1"/>
  <c r="A14" i="1"/>
  <c r="AF13" i="1"/>
  <c r="AB13" i="1"/>
  <c r="AA13" i="1"/>
  <c r="T13" i="1"/>
  <c r="R13" i="1"/>
  <c r="P13" i="1"/>
  <c r="O13" i="1"/>
  <c r="L13" i="1"/>
  <c r="K13" i="1"/>
  <c r="J13" i="1"/>
  <c r="I13" i="1"/>
  <c r="H13" i="1"/>
  <c r="G13" i="1"/>
  <c r="F13" i="1"/>
  <c r="E13" i="1"/>
  <c r="D13" i="1"/>
  <c r="C13" i="1"/>
  <c r="B13" i="1"/>
  <c r="A13" i="1"/>
  <c r="AF12" i="1"/>
  <c r="AB12" i="1"/>
  <c r="AA12" i="1"/>
  <c r="T12" i="1"/>
  <c r="R12" i="1"/>
  <c r="Q12" i="1"/>
  <c r="P12" i="1"/>
  <c r="O12" i="1"/>
  <c r="L12" i="1"/>
  <c r="K12" i="1"/>
  <c r="J12" i="1"/>
  <c r="I12" i="1"/>
  <c r="H12" i="1"/>
  <c r="G12" i="1"/>
  <c r="F12" i="1"/>
  <c r="E12" i="1"/>
  <c r="D12" i="1"/>
  <c r="C12" i="1"/>
  <c r="B12" i="1"/>
  <c r="A12" i="1"/>
  <c r="AF11" i="1"/>
  <c r="AB11" i="1"/>
  <c r="AA11" i="1"/>
  <c r="T11" i="1"/>
  <c r="S11" i="1"/>
  <c r="R11" i="1"/>
  <c r="Q11" i="1"/>
  <c r="P11" i="1"/>
  <c r="O11" i="1"/>
  <c r="L11" i="1"/>
  <c r="K11" i="1"/>
  <c r="J11" i="1"/>
  <c r="I11" i="1"/>
  <c r="H11" i="1"/>
  <c r="G11" i="1"/>
  <c r="F11" i="1"/>
  <c r="E11" i="1"/>
  <c r="D11" i="1"/>
  <c r="C11" i="1"/>
  <c r="B11" i="1"/>
  <c r="A11" i="1"/>
  <c r="AF10" i="1"/>
  <c r="AB10" i="1"/>
  <c r="AA10" i="1"/>
  <c r="T10" i="1"/>
  <c r="S10" i="1"/>
  <c r="R10" i="1"/>
  <c r="Q10" i="1"/>
  <c r="P10" i="1"/>
  <c r="O10" i="1"/>
  <c r="L10" i="1"/>
  <c r="K10" i="1"/>
  <c r="J10" i="1"/>
  <c r="I10" i="1"/>
  <c r="H10" i="1"/>
  <c r="G10" i="1"/>
  <c r="F10" i="1"/>
  <c r="E10" i="1"/>
  <c r="D10" i="1"/>
  <c r="C10" i="1"/>
  <c r="B10" i="1"/>
  <c r="A10" i="1"/>
  <c r="AF9" i="1"/>
  <c r="AB9" i="1"/>
  <c r="AA9" i="1"/>
  <c r="T9" i="1"/>
  <c r="R9" i="1"/>
  <c r="P9" i="1"/>
  <c r="O9" i="1"/>
  <c r="L9" i="1"/>
  <c r="K9" i="1"/>
  <c r="J9" i="1"/>
  <c r="I9" i="1"/>
  <c r="H9" i="1"/>
  <c r="G9" i="1"/>
  <c r="F9" i="1"/>
  <c r="E9" i="1"/>
  <c r="D9" i="1"/>
  <c r="C9" i="1"/>
  <c r="B9" i="1"/>
  <c r="A9" i="1"/>
  <c r="AF8" i="1"/>
  <c r="AB8" i="1"/>
  <c r="AA8" i="1"/>
  <c r="T8" i="1"/>
  <c r="S8" i="1"/>
  <c r="R8" i="1"/>
  <c r="Q8" i="1"/>
  <c r="P8" i="1"/>
  <c r="O8" i="1"/>
  <c r="L8" i="1"/>
  <c r="K8" i="1"/>
  <c r="J8" i="1"/>
  <c r="I8" i="1"/>
  <c r="H8" i="1"/>
  <c r="G8" i="1"/>
  <c r="F8" i="1"/>
  <c r="E8" i="1"/>
  <c r="D8" i="1"/>
  <c r="C8" i="1"/>
  <c r="B8" i="1"/>
  <c r="A8" i="1"/>
  <c r="AF7" i="1"/>
  <c r="AB7" i="1"/>
  <c r="AA7" i="1"/>
  <c r="T7" i="1"/>
  <c r="R7" i="1"/>
  <c r="Q7" i="1"/>
  <c r="P7" i="1"/>
  <c r="O7" i="1"/>
  <c r="N7" i="1"/>
  <c r="M7" i="1"/>
  <c r="J7" i="1"/>
  <c r="I7" i="1"/>
  <c r="H7" i="1"/>
  <c r="G7" i="1"/>
  <c r="F7" i="1"/>
  <c r="E7" i="1"/>
  <c r="D7" i="1"/>
  <c r="C7" i="1"/>
  <c r="B7" i="1"/>
  <c r="A7" i="1"/>
  <c r="AG6" i="1"/>
  <c r="AF6" i="1"/>
  <c r="AB6" i="1"/>
  <c r="AA6" i="1"/>
  <c r="V6" i="1"/>
  <c r="U6" i="1"/>
  <c r="T6" i="1"/>
  <c r="S6" i="1"/>
  <c r="R6" i="1"/>
  <c r="Q6" i="1"/>
  <c r="P6" i="1"/>
  <c r="O6" i="1"/>
  <c r="L6" i="1"/>
  <c r="K6" i="1"/>
  <c r="J6" i="1"/>
  <c r="I6" i="1"/>
  <c r="H6" i="1"/>
  <c r="G6" i="1"/>
  <c r="F6" i="1"/>
  <c r="E6" i="1"/>
  <c r="D6" i="1"/>
  <c r="C6" i="1"/>
  <c r="B6" i="1"/>
  <c r="A6" i="1"/>
  <c r="AF5" i="1"/>
  <c r="AB5" i="1"/>
  <c r="AA5" i="1"/>
  <c r="V5" i="1"/>
  <c r="U5" i="1"/>
  <c r="T5" i="1"/>
  <c r="R5" i="1"/>
  <c r="Q5" i="1"/>
  <c r="P5" i="1"/>
  <c r="O5" i="1"/>
  <c r="L5" i="1"/>
  <c r="K5" i="1"/>
  <c r="J5" i="1"/>
  <c r="I5" i="1"/>
  <c r="H5" i="1"/>
  <c r="G5" i="1"/>
  <c r="F5" i="1"/>
  <c r="E5" i="1"/>
  <c r="D5" i="1"/>
  <c r="C5" i="1"/>
  <c r="B5" i="1"/>
  <c r="A5" i="1"/>
  <c r="AF4" i="1"/>
  <c r="AB4" i="1"/>
  <c r="AA4" i="1"/>
  <c r="V4" i="1"/>
  <c r="T4" i="1"/>
  <c r="R4" i="1"/>
  <c r="P4" i="1"/>
  <c r="O4" i="1"/>
  <c r="L4" i="1"/>
  <c r="K4" i="1"/>
  <c r="J4" i="1"/>
  <c r="I4" i="1"/>
  <c r="H4" i="1"/>
  <c r="G4" i="1"/>
  <c r="F4" i="1"/>
  <c r="E4" i="1"/>
  <c r="D4" i="1"/>
  <c r="C4" i="1"/>
  <c r="B4" i="1"/>
  <c r="A4" i="1"/>
  <c r="AF3" i="1"/>
  <c r="AB3" i="1"/>
  <c r="AA3" i="1"/>
  <c r="V3" i="1"/>
  <c r="T3" i="1"/>
  <c r="S3" i="1"/>
  <c r="R3" i="1"/>
  <c r="Q3" i="1"/>
  <c r="P3" i="1"/>
  <c r="O3" i="1"/>
  <c r="L3" i="1"/>
  <c r="K3" i="1"/>
  <c r="J3" i="1"/>
  <c r="I3" i="1"/>
  <c r="H3" i="1"/>
  <c r="G3" i="1"/>
  <c r="F3" i="1"/>
  <c r="E3" i="1"/>
  <c r="D3" i="1"/>
  <c r="C3" i="1"/>
  <c r="B3" i="1"/>
  <c r="A3" i="1"/>
  <c r="AF2" i="1"/>
  <c r="AB2" i="1"/>
  <c r="AA2" i="1"/>
  <c r="X2" i="1"/>
  <c r="W2" i="1"/>
  <c r="V2" i="1"/>
  <c r="U2" i="1"/>
  <c r="T2" i="1"/>
  <c r="S2" i="1"/>
  <c r="R2" i="1"/>
  <c r="Q2" i="1"/>
  <c r="P2" i="1"/>
  <c r="O2" i="1"/>
  <c r="N2" i="1"/>
  <c r="M2" i="1"/>
  <c r="J2" i="1"/>
  <c r="I2" i="1"/>
  <c r="H2" i="1"/>
  <c r="G2" i="1"/>
  <c r="F2" i="1"/>
  <c r="E2" i="1"/>
  <c r="C2" i="1"/>
  <c r="B2" i="1"/>
  <c r="A2" i="1"/>
</calcChain>
</file>

<file path=xl/sharedStrings.xml><?xml version="1.0" encoding="utf-8"?>
<sst xmlns="http://schemas.openxmlformats.org/spreadsheetml/2006/main" count="35" uniqueCount="34">
  <si>
    <t>No</t>
  </si>
  <si>
    <t>ID PENERBITAN</t>
  </si>
  <si>
    <t>SUBJEK HUKUM</t>
  </si>
  <si>
    <t>CONTACT PERSON (NAMA DAN NO. HP/ EMAIL)</t>
  </si>
  <si>
    <t>ALAMAT</t>
  </si>
  <si>
    <t>JENIS PERMOHONAN</t>
  </si>
  <si>
    <t>BERUSAHA / NONBERUSAHA</t>
  </si>
  <si>
    <t>PROVINSI</t>
  </si>
  <si>
    <t>NAMA PERAIRAN</t>
  </si>
  <si>
    <t>DETIL KEGIATAN</t>
  </si>
  <si>
    <t>LUAS</t>
  </si>
  <si>
    <t>PANJANG</t>
  </si>
  <si>
    <t>NOMOR KKPRL</t>
  </si>
  <si>
    <t>TANGGAL PENERBITAN</t>
  </si>
  <si>
    <t>LAPORAN 1</t>
  </si>
  <si>
    <t>L1</t>
  </si>
  <si>
    <t>LAPORAN 2</t>
  </si>
  <si>
    <t>L2</t>
  </si>
  <si>
    <t>LAPORAN 3</t>
  </si>
  <si>
    <t>L3</t>
  </si>
  <si>
    <t>LAPORAN 4</t>
  </si>
  <si>
    <t>L4</t>
  </si>
  <si>
    <t>LAPORAN 5</t>
  </si>
  <si>
    <t>L5</t>
  </si>
  <si>
    <t>SANKSI</t>
  </si>
  <si>
    <t>KETERANGAN</t>
  </si>
  <si>
    <t>DOKUMEN LAPORAN TAHUNAN (LINK DRIVE)</t>
  </si>
  <si>
    <t>DOKUMEN KKPRL (LINK DRIVE)</t>
  </si>
  <si>
    <t>PEMUTAKHIRAN</t>
  </si>
  <si>
    <t>UPT</t>
  </si>
  <si>
    <t>NOMOR SURAT DAN TANGGAL</t>
  </si>
  <si>
    <t>STATUS TERKIRIM</t>
  </si>
  <si>
    <t>UPLOAD DATA SP PADA LINK BERIKUT</t>
  </si>
  <si>
    <t>https://bit.ly/SPlaporantahunan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</si>
</sst>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m\ yyyy"/>
    <numFmt numFmtId="165" formatCode="0.00000000E+00"/>
  </numFmts>
  <fonts count="7" x14ac:knownFonts="1">
    <font>
      <sz val="11"/>
      <color theme="1"/>
      <name val="Arial"/>
      <scheme val="minor"/>
    </font>
    <font>
      <b/>
      <sz val="10"/>
      <color rgb="FF000000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1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164" fontId="4" fillId="0" borderId="1" xfId="0" applyNumberFormat="1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/>
    <xf numFmtId="164" fontId="4" fillId="0" borderId="1" xfId="0" applyNumberFormat="1" applyFont="1" applyBorder="1" applyAlignment="1">
      <alignment wrapText="1"/>
    </xf>
    <xf numFmtId="0" fontId="6" fillId="0" borderId="1" xfId="1" applyBorder="1" applyAlignment="1" applyProtection="1"/>
    <xf numFmtId="4" fontId="4" fillId="0" borderId="1" xfId="0" applyNumberFormat="1" applyFont="1" applyBorder="1"/>
    <xf numFmtId="165" fontId="4" fillId="0" borderId="1" xfId="0" applyNumberFormat="1" applyFont="1" applyBorder="1"/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it.ly/SPlaporantahunan" TargetMode="External"/><Relationship Id="rId1" Type="http://schemas.openxmlformats.org/officeDocument/2006/relationships/hyperlink" Target="https://bit.ly/SPlaporantahun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B29E4-50E9-4FD6-9E88-111C5B548EF6}">
  <sheetPr>
    <outlinePr summaryBelow="0" summaryRight="0"/>
  </sheetPr>
  <dimension ref="A1:AO1000"/>
  <sheetViews>
    <sheetView tabSelected="1" zoomScale="75" zoomScaleNormal="75" workbookViewId="0">
      <pane xSplit="3" ySplit="1" topLeftCell="AA2" activePane="bottomRight" state="frozen"/>
      <selection pane="topRight" activeCell="D1" sqref="D1"/>
      <selection pane="bottomLeft" activeCell="A2" sqref="A2"/>
      <selection pane="bottomRight" activeCell="A108" sqref="A108:XFD108"/>
    </sheetView>
  </sheetViews>
  <sheetFormatPr defaultColWidth="12.58203125" defaultRowHeight="15" customHeight="1" x14ac:dyDescent="0.3"/>
  <cols>
    <col min="1" max="1" width="6.25" customWidth="1"/>
    <col min="3" max="3" width="41.58203125" customWidth="1"/>
    <col min="4" max="4" width="30" customWidth="1"/>
    <col min="5" max="5" width="32.83203125" customWidth="1"/>
    <col min="16" max="16" width="15.83203125" customWidth="1"/>
    <col min="17" max="17" width="15.58203125" customWidth="1"/>
    <col min="28" max="28" width="11.83203125" customWidth="1"/>
    <col min="36" max="36" width="36.58203125" customWidth="1"/>
  </cols>
  <sheetData>
    <row r="1" spans="1:41" ht="36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/>
      <c r="M1" s="3" t="s">
        <v>11</v>
      </c>
      <c r="N1" s="4"/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/>
      <c r="AH1" s="1" t="s">
        <v>30</v>
      </c>
      <c r="AI1" s="5" t="s">
        <v>31</v>
      </c>
      <c r="AJ1" s="5" t="s">
        <v>32</v>
      </c>
      <c r="AK1" s="6"/>
      <c r="AL1" s="6"/>
      <c r="AM1" s="6"/>
      <c r="AN1" s="6"/>
      <c r="AO1" s="6"/>
    </row>
    <row r="2" spans="1:41" ht="50.5" x14ac:dyDescent="0.3">
      <c r="A2" s="7">
        <f ca="1">IFERROR(__xludf.DUMMYFUNCTION("FILTER('SP1 BERUSAHA'!A:AG, 'SP1 BERUSAHA'!AF:AF =""BITUNG"")"),38)</f>
        <v>38</v>
      </c>
      <c r="B2" s="7" t="str">
        <f ca="1">IFERROR(__xludf.DUMMYFUNCTION("""COMPUTED_VALUE"""),"20.13.00032")</f>
        <v>20.13.00032</v>
      </c>
      <c r="C2" s="7" t="str">
        <f ca="1">IFERROR(__xludf.DUMMYFUNCTION("""COMPUTED_VALUE"""),"PT TELEKOMUNIKASI INDONESIA")</f>
        <v>PT TELEKOMUNIKASI INDONESIA</v>
      </c>
      <c r="D2" s="7"/>
      <c r="E2" s="7" t="str">
        <f ca="1">IFERROR(__xludf.DUMMYFUNCTION("""COMPUTED_VALUE"""),"JL. JAPATI NO. 1, KELURAHAN SADANG SERANG, KECAMATAN COBLONG, KOTA BANDUNG, PROVINSI JAWA BARAT")</f>
        <v>JL. JAPATI NO. 1, KELURAHAN SADANG SERANG, KECAMATAN COBLONG, KOTA BANDUNG, PROVINSI JAWA BARAT</v>
      </c>
      <c r="F2" s="7" t="str">
        <f ca="1">IFERROR(__xludf.DUMMYFUNCTION("""COMPUTED_VALUE"""),"IZIN LOKASI DI LAUT")</f>
        <v>IZIN LOKASI DI LAUT</v>
      </c>
      <c r="G2" s="7" t="str">
        <f ca="1">IFERROR(__xludf.DUMMYFUNCTION("""COMPUTED_VALUE"""),"BERUSAHA")</f>
        <v>BERUSAHA</v>
      </c>
      <c r="H2" s="7" t="str">
        <f ca="1">IFERROR(__xludf.DUMMYFUNCTION("""COMPUTED_VALUE"""),"SULAWESI TENGAH, SULAWESI TENGGARA")</f>
        <v>SULAWESI TENGAH, SULAWESI TENGGARA</v>
      </c>
      <c r="I2" s="7" t="str">
        <f ca="1">IFERROR(__xludf.DUMMYFUNCTION("""COMPUTED_VALUE"""),"LAUT BANDA")</f>
        <v>LAUT BANDA</v>
      </c>
      <c r="J2" s="7" t="str">
        <f ca="1">IFERROR(__xludf.DUMMYFUNCTION("""COMPUTED_VALUE"""),"PEMASANGAN KABEL BAWAH LAUT")</f>
        <v>PEMASANGAN KABEL BAWAH LAUT</v>
      </c>
      <c r="K2" s="7"/>
      <c r="L2" s="7"/>
      <c r="M2" s="7">
        <f ca="1">IFERROR(__xludf.DUMMYFUNCTION("""COMPUTED_VALUE"""),409.11)</f>
        <v>409.11</v>
      </c>
      <c r="N2" s="7" t="str">
        <f ca="1">IFERROR(__xludf.DUMMYFUNCTION("""COMPUTED_VALUE"""),"km")</f>
        <v>km</v>
      </c>
      <c r="O2" s="7" t="str">
        <f ca="1">IFERROR(__xludf.DUMMYFUNCTION("""COMPUTED_VALUE"""),"B-480/MEN-KP/IX/2020")</f>
        <v>B-480/MEN-KP/IX/2020</v>
      </c>
      <c r="P2" s="8">
        <f ca="1">IFERROR(__xludf.DUMMYFUNCTION("""COMPUTED_VALUE"""),44092)</f>
        <v>44092</v>
      </c>
      <c r="Q2" s="8">
        <f ca="1">IFERROR(__xludf.DUMMYFUNCTION("""COMPUTED_VALUE"""),45138)</f>
        <v>45138</v>
      </c>
      <c r="R2" s="7" t="str">
        <f ca="1">IFERROR(__xludf.DUMMYFUNCTION("""COMPUTED_VALUE"""),"Terlambat")</f>
        <v>Terlambat</v>
      </c>
      <c r="S2" s="8">
        <f ca="1">IFERROR(__xludf.DUMMYFUNCTION("""COMPUTED_VALUE"""),45138)</f>
        <v>45138</v>
      </c>
      <c r="T2" s="7" t="str">
        <f ca="1">IFERROR(__xludf.DUMMYFUNCTION("""COMPUTED_VALUE"""),"Terlambat")</f>
        <v>Terlambat</v>
      </c>
      <c r="U2" s="8">
        <f ca="1">IFERROR(__xludf.DUMMYFUNCTION("""COMPUTED_VALUE"""),45138)</f>
        <v>45138</v>
      </c>
      <c r="V2" s="7" t="str">
        <f ca="1">IFERROR(__xludf.DUMMYFUNCTION("""COMPUTED_VALUE"""),"Tepat Waktu")</f>
        <v>Tepat Waktu</v>
      </c>
      <c r="W2" s="8">
        <f ca="1">IFERROR(__xludf.DUMMYFUNCTION("""COMPUTED_VALUE"""),45552)</f>
        <v>45552</v>
      </c>
      <c r="X2" s="7" t="str">
        <f ca="1">IFERROR(__xludf.DUMMYFUNCTION("""COMPUTED_VALUE"""),"Tepat Waktu")</f>
        <v>Tepat Waktu</v>
      </c>
      <c r="Y2" s="7"/>
      <c r="Z2" s="7"/>
      <c r="AA2" s="7" t="str">
        <f ca="1">IFERROR(__xludf.DUMMYFUNCTION("""COMPUTED_VALUE"""),"SP1")</f>
        <v>SP1</v>
      </c>
      <c r="AB2" s="9" t="str">
        <f ca="1">IFERROR(__xludf.DUMMYFUNCTION("""COMPUTED_VALUE"""),"LAPORAN 1 TERLAMBAT; LAPORAN 2 TERLAMBAT")</f>
        <v>LAPORAN 1 TERLAMBAT; LAPORAN 2 TERLAMBAT</v>
      </c>
      <c r="AC2" s="9"/>
      <c r="AD2" s="9"/>
      <c r="AE2" s="9"/>
      <c r="AF2" s="7" t="str">
        <f ca="1">IFERROR(__xludf.DUMMYFUNCTION("""COMPUTED_VALUE"""),"BITUNG")</f>
        <v>BITUNG</v>
      </c>
      <c r="AG2" s="7"/>
      <c r="AH2" s="7"/>
      <c r="AI2" s="7"/>
      <c r="AJ2" s="10" t="s">
        <v>33</v>
      </c>
      <c r="AK2" s="6"/>
      <c r="AL2" s="6"/>
      <c r="AM2" s="6"/>
      <c r="AN2" s="6"/>
      <c r="AO2" s="6"/>
    </row>
    <row r="3" spans="1:41" ht="100.5" x14ac:dyDescent="0.3">
      <c r="A3" s="7">
        <f ca="1">IFERROR(__xludf.DUMMYFUNCTION("""COMPUTED_VALUE"""),171)</f>
        <v>171</v>
      </c>
      <c r="B3" s="7" t="str">
        <f ca="1">IFERROR(__xludf.DUMMYFUNCTION("""COMPUTED_VALUE"""),"21.13.00096")</f>
        <v>21.13.00096</v>
      </c>
      <c r="C3" s="7" t="str">
        <f ca="1">IFERROR(__xludf.DUMMYFUNCTION("""COMPUTED_VALUE"""),"PT BIOMASA JAYA ABADI")</f>
        <v>PT BIOMASA JAYA ABADI</v>
      </c>
      <c r="D3" s="7" t="str">
        <f ca="1">IFERROR(__xludf.DUMMYFUNCTION("""COMPUTED_VALUE"""),"")</f>
        <v/>
      </c>
      <c r="E3" s="7" t="str">
        <f ca="1">IFERROR(__xludf.DUMMYFUNCTION("""COMPUTED_VALUE"""),"DESA TRIKORA, KELURAHAN TRIKORA, KECAMATAN POPAYATO, KABUPATEN POHUWATO, PROVINSI GORONTALO")</f>
        <v>DESA TRIKORA, KELURAHAN TRIKORA, KECAMATAN POPAYATO, KABUPATEN POHUWATO, PROVINSI GORONTALO</v>
      </c>
      <c r="F3" s="7" t="str">
        <f ca="1">IFERROR(__xludf.DUMMYFUNCTION("""COMPUTED_VALUE"""),"PERSETUJUAN")</f>
        <v>PERSETUJUAN</v>
      </c>
      <c r="G3" s="7" t="str">
        <f ca="1">IFERROR(__xludf.DUMMYFUNCTION("""COMPUTED_VALUE"""),"BERUSAHA")</f>
        <v>BERUSAHA</v>
      </c>
      <c r="H3" s="7" t="str">
        <f ca="1">IFERROR(__xludf.DUMMYFUNCTION("""COMPUTED_VALUE"""),"GORONTALO")</f>
        <v>GORONTALO</v>
      </c>
      <c r="I3" s="7" t="str">
        <f ca="1">IFERROR(__xludf.DUMMYFUNCTION("""COMPUTED_VALUE"""),"TELUK TOMINI")</f>
        <v>TELUK TOMINI</v>
      </c>
      <c r="J3" s="7" t="str">
        <f ca="1">IFERROR(__xludf.DUMMYFUNCTION("""COMPUTED_VALUE"""),"PEMBANGUNAN TERMINAL KHUSUS UNTUK INDUSTRI PELET KAYU")</f>
        <v>PEMBANGUNAN TERMINAL KHUSUS UNTUK INDUSTRI PELET KAYU</v>
      </c>
      <c r="K3" s="7">
        <f ca="1">IFERROR(__xludf.DUMMYFUNCTION("""COMPUTED_VALUE"""),179.89)</f>
        <v>179.89</v>
      </c>
      <c r="L3" s="7" t="str">
        <f ca="1">IFERROR(__xludf.DUMMYFUNCTION("""COMPUTED_VALUE"""),"ha")</f>
        <v>ha</v>
      </c>
      <c r="M3" s="7"/>
      <c r="N3" s="7"/>
      <c r="O3" s="7" t="str">
        <f ca="1">IFERROR(__xludf.DUMMYFUNCTION("""COMPUTED_VALUE"""),"15112110517500001")</f>
        <v>15112110517500001</v>
      </c>
      <c r="P3" s="8">
        <f ca="1">IFERROR(__xludf.DUMMYFUNCTION("""COMPUTED_VALUE"""),44515)</f>
        <v>44515</v>
      </c>
      <c r="Q3" s="8">
        <f ca="1">IFERROR(__xludf.DUMMYFUNCTION("""COMPUTED_VALUE"""),45278)</f>
        <v>45278</v>
      </c>
      <c r="R3" s="7" t="str">
        <f ca="1">IFERROR(__xludf.DUMMYFUNCTION("""COMPUTED_VALUE"""),"Terlambat")</f>
        <v>Terlambat</v>
      </c>
      <c r="S3" s="8">
        <f ca="1">IFERROR(__xludf.DUMMYFUNCTION("""COMPUTED_VALUE"""),45518)</f>
        <v>45518</v>
      </c>
      <c r="T3" s="7" t="str">
        <f ca="1">IFERROR(__xludf.DUMMYFUNCTION("""COMPUTED_VALUE"""),"Terlambat")</f>
        <v>Terlambat</v>
      </c>
      <c r="U3" s="7"/>
      <c r="V3" s="7" t="str">
        <f ca="1">IFERROR(__xludf.DUMMYFUNCTION("""COMPUTED_VALUE"""),"Tidak Menyampaikan Laporan")</f>
        <v>Tidak Menyampaikan Laporan</v>
      </c>
      <c r="W3" s="7"/>
      <c r="X3" s="7"/>
      <c r="Y3" s="7"/>
      <c r="Z3" s="7"/>
      <c r="AA3" s="7" t="str">
        <f ca="1">IFERROR(__xludf.DUMMYFUNCTION("""COMPUTED_VALUE"""),"SP1")</f>
        <v>SP1</v>
      </c>
      <c r="AB3" s="9" t="str">
        <f ca="1">IFERROR(__xludf.DUMMYFUNCTION("""COMPUTED_VALUE"""),"LAPORAN 1 TERLAMBAT; LAPORAN 2 TERLAMBAT; TIDAK MENYAMPAIKAN LAPORAN 3")</f>
        <v>LAPORAN 1 TERLAMBAT; LAPORAN 2 TERLAMBAT; TIDAK MENYAMPAIKAN LAPORAN 3</v>
      </c>
      <c r="AC3" s="9"/>
      <c r="AD3" s="9"/>
      <c r="AE3" s="11"/>
      <c r="AF3" s="7" t="str">
        <f ca="1">IFERROR(__xludf.DUMMYFUNCTION("""COMPUTED_VALUE"""),"BITUNG")</f>
        <v>BITUNG</v>
      </c>
      <c r="AG3" s="8"/>
      <c r="AH3" s="7"/>
      <c r="AI3" s="7"/>
      <c r="AJ3" s="7"/>
      <c r="AK3" s="6"/>
      <c r="AL3" s="6"/>
      <c r="AM3" s="6"/>
      <c r="AN3" s="6"/>
      <c r="AO3" s="6"/>
    </row>
    <row r="4" spans="1:41" ht="125.5" x14ac:dyDescent="0.3">
      <c r="A4" s="7">
        <f ca="1">IFERROR(__xludf.DUMMYFUNCTION("""COMPUTED_VALUE"""),201)</f>
        <v>201</v>
      </c>
      <c r="B4" s="7" t="str">
        <f ca="1">IFERROR(__xludf.DUMMYFUNCTION("""COMPUTED_VALUE"""),"21.13.00146")</f>
        <v>21.13.00146</v>
      </c>
      <c r="C4" s="7" t="str">
        <f ca="1">IFERROR(__xludf.DUMMYFUNCTION("""COMPUTED_VALUE"""),"PT PELABUHAN INDONESIA (PERSERO)")</f>
        <v>PT PELABUHAN INDONESIA (PERSERO)</v>
      </c>
      <c r="D4" s="7" t="str">
        <f ca="1">IFERROR(__xludf.DUMMYFUNCTION("""COMPUTED_VALUE"""),"85719491209/corp_sec@pelindo.co.id")</f>
        <v>85719491209/corp_sec@pelindo.co.id</v>
      </c>
      <c r="E4" s="7" t="str">
        <f ca="1">IFERROR(__xludf.DUMMYFUNCTION("""COMPUTED_VALUE"""),"JL. PASOSO NO. 1, KELURAHAN TANJUNG PRIOK, KECAMATAN TANJUNG PRIOK, KOTA JAKARTA UTARA, PROVINSI DKI JAKARTA")</f>
        <v>JL. PASOSO NO. 1, KELURAHAN TANJUNG PRIOK, KECAMATAN TANJUNG PRIOK, KOTA JAKARTA UTARA, PROVINSI DKI JAKARTA</v>
      </c>
      <c r="F4" s="7" t="str">
        <f ca="1">IFERROR(__xludf.DUMMYFUNCTION("""COMPUTED_VALUE"""),"PERSETUJUAN")</f>
        <v>PERSETUJUAN</v>
      </c>
      <c r="G4" s="7" t="str">
        <f ca="1">IFERROR(__xludf.DUMMYFUNCTION("""COMPUTED_VALUE"""),"BERUSAHA")</f>
        <v>BERUSAHA</v>
      </c>
      <c r="H4" s="7" t="str">
        <f ca="1">IFERROR(__xludf.DUMMYFUNCTION("""COMPUTED_VALUE"""),"SULAWESI SELATAN")</f>
        <v>SULAWESI SELATAN</v>
      </c>
      <c r="I4" s="7" t="str">
        <f ca="1">IFERROR(__xludf.DUMMYFUNCTION("""COMPUTED_VALUE"""),"SELAT MAKASSAR")</f>
        <v>SELAT MAKASSAR</v>
      </c>
      <c r="J4" s="7" t="str">
        <f ca="1">IFERROR(__xludf.DUMMYFUNCTION("""COMPUTED_VALUE"""),"PEMBANGUNAN DERMAGA LANTAMAL VI MAKASSAR")</f>
        <v>PEMBANGUNAN DERMAGA LANTAMAL VI MAKASSAR</v>
      </c>
      <c r="K4" s="7">
        <f ca="1">IFERROR(__xludf.DUMMYFUNCTION("""COMPUTED_VALUE"""),0.39)</f>
        <v>0.39</v>
      </c>
      <c r="L4" s="7" t="str">
        <f ca="1">IFERROR(__xludf.DUMMYFUNCTION("""COMPUTED_VALUE"""),"ha")</f>
        <v>ha</v>
      </c>
      <c r="M4" s="7"/>
      <c r="N4" s="7"/>
      <c r="O4" s="7" t="str">
        <f ca="1">IFERROR(__xludf.DUMMYFUNCTION("""COMPUTED_VALUE"""),"24122110517300001")</f>
        <v>24122110517300001</v>
      </c>
      <c r="P4" s="8">
        <f ca="1">IFERROR(__xludf.DUMMYFUNCTION("""COMPUTED_VALUE"""),44554)</f>
        <v>44554</v>
      </c>
      <c r="Q4" s="8"/>
      <c r="R4" s="7" t="str">
        <f ca="1">IFERROR(__xludf.DUMMYFUNCTION("""COMPUTED_VALUE"""),"Tidak Menyampaikan Laporan")</f>
        <v>Tidak Menyampaikan Laporan</v>
      </c>
      <c r="S4" s="8"/>
      <c r="T4" s="7" t="str">
        <f ca="1">IFERROR(__xludf.DUMMYFUNCTION("""COMPUTED_VALUE"""),"Tidak Menyampaikan Laporan")</f>
        <v>Tidak Menyampaikan Laporan</v>
      </c>
      <c r="U4" s="7"/>
      <c r="V4" s="7" t="str">
        <f ca="1">IFERROR(__xludf.DUMMYFUNCTION("""COMPUTED_VALUE"""),"Tidak Menyampaikan Laporan")</f>
        <v>Tidak Menyampaikan Laporan</v>
      </c>
      <c r="W4" s="7"/>
      <c r="X4" s="7"/>
      <c r="Y4" s="7"/>
      <c r="Z4" s="7"/>
      <c r="AA4" s="7" t="str">
        <f ca="1">IFERROR(__xludf.DUMMYFUNCTION("""COMPUTED_VALUE"""),"SP1")</f>
        <v>SP1</v>
      </c>
      <c r="AB4" s="9" t="str">
        <f ca="1">IFERROR(__xludf.DUMMYFUNCTION("""COMPUTED_VALUE"""),"TIDAK MENYAMPAIKAN LAPORAN 1; TIDAK MENYAMPAIKAN LAPORAN 2; TIDAK MENYAMPAIKAN LAPORAN 3")</f>
        <v>TIDAK MENYAMPAIKAN LAPORAN 1; TIDAK MENYAMPAIKAN LAPORAN 2; TIDAK MENYAMPAIKAN LAPORAN 3</v>
      </c>
      <c r="AC4" s="9"/>
      <c r="AD4" s="9"/>
      <c r="AE4" s="11"/>
      <c r="AF4" s="7" t="str">
        <f ca="1">IFERROR(__xludf.DUMMYFUNCTION("""COMPUTED_VALUE"""),"BITUNG")</f>
        <v>BITUNG</v>
      </c>
      <c r="AG4" s="8"/>
      <c r="AH4" s="7"/>
      <c r="AI4" s="7"/>
      <c r="AJ4" s="7"/>
      <c r="AK4" s="6"/>
      <c r="AL4" s="6"/>
      <c r="AM4" s="6"/>
      <c r="AN4" s="6"/>
      <c r="AO4" s="6"/>
    </row>
    <row r="5" spans="1:41" ht="75.5" x14ac:dyDescent="0.3">
      <c r="A5" s="7">
        <f ca="1">IFERROR(__xludf.DUMMYFUNCTION("""COMPUTED_VALUE"""),238)</f>
        <v>238</v>
      </c>
      <c r="B5" s="7" t="str">
        <f ca="1">IFERROR(__xludf.DUMMYFUNCTION("""COMPUTED_VALUE"""),"22.13.00038")</f>
        <v>22.13.00038</v>
      </c>
      <c r="C5" s="7" t="str">
        <f ca="1">IFERROR(__xludf.DUMMYFUNCTION("""COMPUTED_VALUE"""),"PT BUKIT MAKMUR RESOURCES")</f>
        <v>PT BUKIT MAKMUR RESOURCES</v>
      </c>
      <c r="D5" s="7" t="str">
        <f ca="1">IFERROR(__xludf.DUMMYFUNCTION("""COMPUTED_VALUE"""),"")</f>
        <v/>
      </c>
      <c r="E5" s="7" t="str">
        <f ca="1">IFERROR(__xludf.DUMMYFUNCTION("""COMPUTED_VALUE"""),"EQUITY TOWER LANTAI 48 UNIT E SCBD LOT 9, JL. JENDERAL SUDIRMAN KAV. 52-53, KELURAHAN SENAYAN, KECAMATAN KEBAYORAN BARU, KOTA JAKARTA SELATAN, PROVINSI DKI JAKARTA")</f>
        <v>EQUITY TOWER LANTAI 48 UNIT E SCBD LOT 9, JL. JENDERAL SUDIRMAN KAV. 52-53, KELURAHAN SENAYAN, KECAMATAN KEBAYORAN BARU, KOTA JAKARTA SELATAN, PROVINSI DKI JAKARTA</v>
      </c>
      <c r="F5" s="7" t="str">
        <f ca="1">IFERROR(__xludf.DUMMYFUNCTION("""COMPUTED_VALUE"""),"PERSETUJUAN")</f>
        <v>PERSETUJUAN</v>
      </c>
      <c r="G5" s="7" t="str">
        <f ca="1">IFERROR(__xludf.DUMMYFUNCTION("""COMPUTED_VALUE"""),"BERUSAHA")</f>
        <v>BERUSAHA</v>
      </c>
      <c r="H5" s="7" t="str">
        <f ca="1">IFERROR(__xludf.DUMMYFUNCTION("""COMPUTED_VALUE"""),"SULAWESI TENGGARA")</f>
        <v>SULAWESI TENGGARA</v>
      </c>
      <c r="I5" s="7" t="str">
        <f ca="1">IFERROR(__xludf.DUMMYFUNCTION("""COMPUTED_VALUE"""),"LAUT BANDA")</f>
        <v>LAUT BANDA</v>
      </c>
      <c r="J5" s="7" t="str">
        <f ca="1">IFERROR(__xludf.DUMMYFUNCTION("""COMPUTED_VALUE"""),"PEMBANGUNAN TERMINAL KHUSUS")</f>
        <v>PEMBANGUNAN TERMINAL KHUSUS</v>
      </c>
      <c r="K5" s="7">
        <f ca="1">IFERROR(__xludf.DUMMYFUNCTION("""COMPUTED_VALUE"""),124.9)</f>
        <v>124.9</v>
      </c>
      <c r="L5" s="7" t="str">
        <f ca="1">IFERROR(__xludf.DUMMYFUNCTION("""COMPUTED_VALUE"""),"ha")</f>
        <v>ha</v>
      </c>
      <c r="M5" s="7"/>
      <c r="N5" s="7"/>
      <c r="O5" s="7" t="str">
        <f ca="1">IFERROR(__xludf.DUMMYFUNCTION("""COMPUTED_VALUE"""),"11042210517400002")</f>
        <v>11042210517400002</v>
      </c>
      <c r="P5" s="8">
        <f ca="1">IFERROR(__xludf.DUMMYFUNCTION("""COMPUTED_VALUE"""),44662)</f>
        <v>44662</v>
      </c>
      <c r="Q5" s="8">
        <f ca="1">IFERROR(__xludf.DUMMYFUNCTION("""COMPUTED_VALUE"""),45364)</f>
        <v>45364</v>
      </c>
      <c r="R5" s="7" t="str">
        <f ca="1">IFERROR(__xludf.DUMMYFUNCTION("""COMPUTED_VALUE"""),"Terlambat")</f>
        <v>Terlambat</v>
      </c>
      <c r="S5" s="7"/>
      <c r="T5" s="7" t="str">
        <f ca="1">IFERROR(__xludf.DUMMYFUNCTION("""COMPUTED_VALUE"""),"Tidak Menyampaikan Laporan")</f>
        <v>Tidak Menyampaikan Laporan</v>
      </c>
      <c r="U5" s="8">
        <f ca="1">IFERROR(__xludf.DUMMYFUNCTION("""COMPUTED_VALUE"""),45732)</f>
        <v>45732</v>
      </c>
      <c r="V5" s="7" t="str">
        <f ca="1">IFERROR(__xludf.DUMMYFUNCTION("""COMPUTED_VALUE"""),"Tepat Waktu")</f>
        <v>Tepat Waktu</v>
      </c>
      <c r="W5" s="7"/>
      <c r="X5" s="7"/>
      <c r="Y5" s="7"/>
      <c r="Z5" s="7"/>
      <c r="AA5" s="7" t="str">
        <f ca="1">IFERROR(__xludf.DUMMYFUNCTION("""COMPUTED_VALUE"""),"SP1")</f>
        <v>SP1</v>
      </c>
      <c r="AB5" s="9" t="str">
        <f ca="1">IFERROR(__xludf.DUMMYFUNCTION("""COMPUTED_VALUE"""),"LAPORAN 1 TERLAMBAT; TIDAK MENYAMPAIKAN LAPORAN 2")</f>
        <v>LAPORAN 1 TERLAMBAT; TIDAK MENYAMPAIKAN LAPORAN 2</v>
      </c>
      <c r="AC5" s="9"/>
      <c r="AD5" s="9"/>
      <c r="AE5" s="11"/>
      <c r="AF5" s="7" t="str">
        <f ca="1">IFERROR(__xludf.DUMMYFUNCTION("""COMPUTED_VALUE"""),"BITUNG")</f>
        <v>BITUNG</v>
      </c>
      <c r="AG5" s="8"/>
      <c r="AH5" s="7"/>
      <c r="AI5" s="7"/>
      <c r="AJ5" s="7"/>
      <c r="AK5" s="6"/>
      <c r="AL5" s="6"/>
      <c r="AM5" s="6"/>
      <c r="AN5" s="6"/>
      <c r="AO5" s="6"/>
    </row>
    <row r="6" spans="1:41" ht="50.5" x14ac:dyDescent="0.3">
      <c r="A6" s="7">
        <f ca="1">IFERROR(__xludf.DUMMYFUNCTION("""COMPUTED_VALUE"""),239)</f>
        <v>239</v>
      </c>
      <c r="B6" s="7" t="str">
        <f ca="1">IFERROR(__xludf.DUMMYFUNCTION("""COMPUTED_VALUE"""),"22.13.00039")</f>
        <v>22.13.00039</v>
      </c>
      <c r="C6" s="7" t="str">
        <f ca="1">IFERROR(__xludf.DUMMYFUNCTION("""COMPUTED_VALUE"""),"PT KOLAKA NICKEL INDONESIA")</f>
        <v>PT KOLAKA NICKEL INDONESIA</v>
      </c>
      <c r="D6" s="7" t="str">
        <f ca="1">IFERROR(__xludf.DUMMYFUNCTION("""COMPUTED_VALUE"""),"")</f>
        <v/>
      </c>
      <c r="E6" s="7" t="str">
        <f ca="1">IFERROR(__xludf.DUMMYFUNCTION("""COMPUTED_VALUE"""),"SEQUIS TOWER LT. 20 UNIT 6-7, JL. JENDERAL SUDIRMAN KAV. 71, KELURAHAN SENAYAN, KECAMATAN KEBAYORAN BARU, KOTA JAKARTA SELATAN, PROVINSI DKI JAKARTA")</f>
        <v>SEQUIS TOWER LT. 20 UNIT 6-7, JL. JENDERAL SUDIRMAN KAV. 71, KELURAHAN SENAYAN, KECAMATAN KEBAYORAN BARU, KOTA JAKARTA SELATAN, PROVINSI DKI JAKARTA</v>
      </c>
      <c r="F6" s="7" t="str">
        <f ca="1">IFERROR(__xludf.DUMMYFUNCTION("""COMPUTED_VALUE"""),"PERSETUJUAN")</f>
        <v>PERSETUJUAN</v>
      </c>
      <c r="G6" s="7" t="str">
        <f ca="1">IFERROR(__xludf.DUMMYFUNCTION("""COMPUTED_VALUE"""),"BERUSAHA")</f>
        <v>BERUSAHA</v>
      </c>
      <c r="H6" s="7" t="str">
        <f ca="1">IFERROR(__xludf.DUMMYFUNCTION("""COMPUTED_VALUE"""),"SULAWESI TENGGARA")</f>
        <v>SULAWESI TENGGARA</v>
      </c>
      <c r="I6" s="7" t="str">
        <f ca="1">IFERROR(__xludf.DUMMYFUNCTION("""COMPUTED_VALUE"""),"TELUK BONE")</f>
        <v>TELUK BONE</v>
      </c>
      <c r="J6" s="7" t="str">
        <f ca="1">IFERROR(__xludf.DUMMYFUNCTION("""COMPUTED_VALUE"""),"PENGEMBANGAN TERMINAL KHUSUS")</f>
        <v>PENGEMBANGAN TERMINAL KHUSUS</v>
      </c>
      <c r="K6" s="7">
        <f ca="1">IFERROR(__xludf.DUMMYFUNCTION("""COMPUTED_VALUE"""),249.07)</f>
        <v>249.07</v>
      </c>
      <c r="L6" s="7" t="str">
        <f ca="1">IFERROR(__xludf.DUMMYFUNCTION("""COMPUTED_VALUE"""),"ha")</f>
        <v>ha</v>
      </c>
      <c r="M6" s="7"/>
      <c r="N6" s="7"/>
      <c r="O6" s="7" t="str">
        <f ca="1">IFERROR(__xludf.DUMMYFUNCTION("""COMPUTED_VALUE"""),"11042210517400001")</f>
        <v>11042210517400001</v>
      </c>
      <c r="P6" s="8">
        <f ca="1">IFERROR(__xludf.DUMMYFUNCTION("""COMPUTED_VALUE"""),44662)</f>
        <v>44662</v>
      </c>
      <c r="Q6" s="8">
        <f ca="1">IFERROR(__xludf.DUMMYFUNCTION("""COMPUTED_VALUE"""),45446)</f>
        <v>45446</v>
      </c>
      <c r="R6" s="7" t="str">
        <f ca="1">IFERROR(__xludf.DUMMYFUNCTION("""COMPUTED_VALUE"""),"Terlambat")</f>
        <v>Terlambat</v>
      </c>
      <c r="S6" s="8">
        <f ca="1">IFERROR(__xludf.DUMMYFUNCTION("""COMPUTED_VALUE"""),45450)</f>
        <v>45450</v>
      </c>
      <c r="T6" s="7" t="str">
        <f ca="1">IFERROR(__xludf.DUMMYFUNCTION("""COMPUTED_VALUE"""),"Terlambat")</f>
        <v>Terlambat</v>
      </c>
      <c r="U6" s="8">
        <f ca="1">IFERROR(__xludf.DUMMYFUNCTION("""COMPUTED_VALUE"""),45756)</f>
        <v>45756</v>
      </c>
      <c r="V6" s="7" t="str">
        <f ca="1">IFERROR(__xludf.DUMMYFUNCTION("""COMPUTED_VALUE"""),"Tepat Waktu")</f>
        <v>Tepat Waktu</v>
      </c>
      <c r="W6" s="7"/>
      <c r="X6" s="7"/>
      <c r="Y6" s="7"/>
      <c r="Z6" s="7"/>
      <c r="AA6" s="7" t="str">
        <f ca="1">IFERROR(__xludf.DUMMYFUNCTION("""COMPUTED_VALUE"""),"SP1")</f>
        <v>SP1</v>
      </c>
      <c r="AB6" s="9" t="str">
        <f ca="1">IFERROR(__xludf.DUMMYFUNCTION("""COMPUTED_VALUE"""),"LAPORAN 1 TERLAMBAT; LAPORAN 2 TERLAMBAT")</f>
        <v>LAPORAN 1 TERLAMBAT; LAPORAN 2 TERLAMBAT</v>
      </c>
      <c r="AC6" s="9"/>
      <c r="AD6" s="9"/>
      <c r="AE6" s="9"/>
      <c r="AF6" s="7" t="str">
        <f ca="1">IFERROR(__xludf.DUMMYFUNCTION("""COMPUTED_VALUE"""),"BITUNG")</f>
        <v>BITUNG</v>
      </c>
      <c r="AG6" s="7" t="str">
        <f ca="1">IFERROR(__xludf.DUMMYFUNCTION("""COMPUTED_VALUE"""),"SP2")</f>
        <v>SP2</v>
      </c>
      <c r="AH6" s="7"/>
      <c r="AI6" s="7"/>
      <c r="AJ6" s="7"/>
      <c r="AK6" s="6"/>
      <c r="AL6" s="6"/>
      <c r="AM6" s="6"/>
      <c r="AN6" s="6"/>
      <c r="AO6" s="6"/>
    </row>
    <row r="7" spans="1:41" ht="75.5" x14ac:dyDescent="0.3">
      <c r="A7" s="7">
        <f ca="1">IFERROR(__xludf.DUMMYFUNCTION("""COMPUTED_VALUE"""),269)</f>
        <v>269</v>
      </c>
      <c r="B7" s="7" t="str">
        <f ca="1">IFERROR(__xludf.DUMMYFUNCTION("""COMPUTED_VALUE"""),"22.13.00047")</f>
        <v>22.13.00047</v>
      </c>
      <c r="C7" s="7" t="str">
        <f ca="1">IFERROR(__xludf.DUMMYFUNCTION("""COMPUTED_VALUE"""),"BUT JOB PERTAMINA - MEDCO E&amp;P TOMORI SULAWESI")</f>
        <v>BUT JOB PERTAMINA - MEDCO E&amp;P TOMORI SULAWESI</v>
      </c>
      <c r="D7" s="7" t="str">
        <f ca="1">IFERROR(__xludf.DUMMYFUNCTION("""COMPUTED_VALUE"""),"")</f>
        <v/>
      </c>
      <c r="E7" s="7" t="str">
        <f ca="1">IFERROR(__xludf.DUMMYFUNCTION("""COMPUTED_VALUE"""),"MENARA BIDAKARA 1, JL. JENDERAL GATOT SUBROTO KAV. 71-73, KELURAHAN MENTENG DALAM, KECAMATAN TEBET, KOTA JAKARTA SELATAN, PROVINSI DKI JAKARTA")</f>
        <v>MENARA BIDAKARA 1, JL. JENDERAL GATOT SUBROTO KAV. 71-73, KELURAHAN MENTENG DALAM, KECAMATAN TEBET, KOTA JAKARTA SELATAN, PROVINSI DKI JAKARTA</v>
      </c>
      <c r="F7" s="7" t="str">
        <f ca="1">IFERROR(__xludf.DUMMYFUNCTION("""COMPUTED_VALUE"""),"PERSETUJUAN")</f>
        <v>PERSETUJUAN</v>
      </c>
      <c r="G7" s="7" t="str">
        <f ca="1">IFERROR(__xludf.DUMMYFUNCTION("""COMPUTED_VALUE"""),"BERUSAHA")</f>
        <v>BERUSAHA</v>
      </c>
      <c r="H7" s="7" t="str">
        <f ca="1">IFERROR(__xludf.DUMMYFUNCTION("""COMPUTED_VALUE"""),"SULAWESI TENGAH")</f>
        <v>SULAWESI TENGAH</v>
      </c>
      <c r="I7" s="7" t="str">
        <f ca="1">IFERROR(__xludf.DUMMYFUNCTION("""COMPUTED_VALUE"""),"SELAT PELENG")</f>
        <v>SELAT PELENG</v>
      </c>
      <c r="J7" s="7" t="str">
        <f ca="1">IFERROR(__xludf.DUMMYFUNCTION("""COMPUTED_VALUE"""),"PIPA DAN KABEL BAWAH LAUT LAPANGAN SENORO")</f>
        <v>PIPA DAN KABEL BAWAH LAUT LAPANGAN SENORO</v>
      </c>
      <c r="K7" s="7"/>
      <c r="L7" s="7"/>
      <c r="M7" s="7">
        <f ca="1">IFERROR(__xludf.DUMMYFUNCTION("""COMPUTED_VALUE"""),7.16)</f>
        <v>7.16</v>
      </c>
      <c r="N7" s="7" t="str">
        <f ca="1">IFERROR(__xludf.DUMMYFUNCTION("""COMPUTED_VALUE"""),"km")</f>
        <v>km</v>
      </c>
      <c r="O7" s="7" t="str">
        <f ca="1">IFERROR(__xludf.DUMMYFUNCTION("""COMPUTED_VALUE"""),"02062210517200001")</f>
        <v>02062210517200001</v>
      </c>
      <c r="P7" s="8">
        <f ca="1">IFERROR(__xludf.DUMMYFUNCTION("""COMPUTED_VALUE"""),44714)</f>
        <v>44714</v>
      </c>
      <c r="Q7" s="8">
        <f ca="1">IFERROR(__xludf.DUMMYFUNCTION("""COMPUTED_VALUE"""),45377)</f>
        <v>45377</v>
      </c>
      <c r="R7" s="7" t="str">
        <f ca="1">IFERROR(__xludf.DUMMYFUNCTION("""COMPUTED_VALUE"""),"Terlambat")</f>
        <v>Terlambat</v>
      </c>
      <c r="S7" s="8"/>
      <c r="T7" s="7" t="str">
        <f ca="1">IFERROR(__xludf.DUMMYFUNCTION("""COMPUTED_VALUE"""),"Tidak Menyampaikan Laporan")</f>
        <v>Tidak Menyampaikan Laporan</v>
      </c>
      <c r="U7" s="7"/>
      <c r="V7" s="7"/>
      <c r="W7" s="7"/>
      <c r="X7" s="7"/>
      <c r="Y7" s="7"/>
      <c r="Z7" s="7"/>
      <c r="AA7" s="7" t="str">
        <f ca="1">IFERROR(__xludf.DUMMYFUNCTION("""COMPUTED_VALUE"""),"SP1")</f>
        <v>SP1</v>
      </c>
      <c r="AB7" s="9" t="str">
        <f ca="1">IFERROR(__xludf.DUMMYFUNCTION("""COMPUTED_VALUE"""),"LAPORAN 1 TERLAMBAT; TIDAK MENYAMPAIKAN LAPORAN 2")</f>
        <v>LAPORAN 1 TERLAMBAT; TIDAK MENYAMPAIKAN LAPORAN 2</v>
      </c>
      <c r="AC7" s="9"/>
      <c r="AD7" s="9"/>
      <c r="AE7" s="11"/>
      <c r="AF7" s="7" t="str">
        <f ca="1">IFERROR(__xludf.DUMMYFUNCTION("""COMPUTED_VALUE"""),"BITUNG")</f>
        <v>BITUNG</v>
      </c>
      <c r="AG7" s="8"/>
      <c r="AH7" s="7"/>
      <c r="AI7" s="7"/>
      <c r="AJ7" s="7"/>
      <c r="AK7" s="6"/>
      <c r="AL7" s="6"/>
      <c r="AM7" s="6"/>
      <c r="AN7" s="6"/>
      <c r="AO7" s="6"/>
    </row>
    <row r="8" spans="1:41" ht="50.5" x14ac:dyDescent="0.3">
      <c r="A8" s="7">
        <f ca="1">IFERROR(__xludf.DUMMYFUNCTION("""COMPUTED_VALUE"""),290)</f>
        <v>290</v>
      </c>
      <c r="B8" s="7" t="str">
        <f ca="1">IFERROR(__xludf.DUMMYFUNCTION("""COMPUTED_VALUE"""),"22.13.00093")</f>
        <v>22.13.00093</v>
      </c>
      <c r="C8" s="7" t="str">
        <f ca="1">IFERROR(__xludf.DUMMYFUNCTION("""COMPUTED_VALUE"""),"PT MANADO UTARA PERKASA")</f>
        <v>PT MANADO UTARA PERKASA</v>
      </c>
      <c r="D8" s="7" t="str">
        <f ca="1">IFERROR(__xludf.DUMMYFUNCTION("""COMPUTED_VALUE"""),"")</f>
        <v/>
      </c>
      <c r="E8" s="7" t="str">
        <f ca="1">IFERROR(__xludf.DUMMYFUNCTION("""COMPUTED_VALUE"""),"KOMPLEKS ITC MARINA PLAZA BLOK B NO. 17, , KOTA MANADO, PROVINSI SULAWESI UTARA")</f>
        <v>KOMPLEKS ITC MARINA PLAZA BLOK B NO. 17, , KOTA MANADO, PROVINSI SULAWESI UTARA</v>
      </c>
      <c r="F8" s="7" t="str">
        <f ca="1">IFERROR(__xludf.DUMMYFUNCTION("""COMPUTED_VALUE"""),"PERSETUJUAN")</f>
        <v>PERSETUJUAN</v>
      </c>
      <c r="G8" s="7" t="str">
        <f ca="1">IFERROR(__xludf.DUMMYFUNCTION("""COMPUTED_VALUE"""),"BERUSAHA")</f>
        <v>BERUSAHA</v>
      </c>
      <c r="H8" s="7" t="str">
        <f ca="1">IFERROR(__xludf.DUMMYFUNCTION("""COMPUTED_VALUE"""),"SULAWESI UTARA")</f>
        <v>SULAWESI UTARA</v>
      </c>
      <c r="I8" s="7" t="str">
        <f ca="1">IFERROR(__xludf.DUMMYFUNCTION("""COMPUTED_VALUE"""),"TELUK MANADO")</f>
        <v>TELUK MANADO</v>
      </c>
      <c r="J8" s="7" t="str">
        <f ca="1">IFERROR(__xludf.DUMMYFUNCTION("""COMPUTED_VALUE"""),"PEMBANGUNAN PUSAT BISNIS DAN PARIWISATA")</f>
        <v>PEMBANGUNAN PUSAT BISNIS DAN PARIWISATA</v>
      </c>
      <c r="K8" s="7">
        <f ca="1">IFERROR(__xludf.DUMMYFUNCTION("""COMPUTED_VALUE"""),90)</f>
        <v>90</v>
      </c>
      <c r="L8" s="7" t="str">
        <f ca="1">IFERROR(__xludf.DUMMYFUNCTION("""COMPUTED_VALUE"""),"ha")</f>
        <v>ha</v>
      </c>
      <c r="M8" s="7"/>
      <c r="N8" s="7"/>
      <c r="O8" s="7" t="str">
        <f ca="1">IFERROR(__xludf.DUMMYFUNCTION("""COMPUTED_VALUE"""),"20062210517100001")</f>
        <v>20062210517100001</v>
      </c>
      <c r="P8" s="8">
        <f ca="1">IFERROR(__xludf.DUMMYFUNCTION("""COMPUTED_VALUE"""),44729)</f>
        <v>44729</v>
      </c>
      <c r="Q8" s="8">
        <f ca="1">IFERROR(__xludf.DUMMYFUNCTION("""COMPUTED_VALUE"""),45353)</f>
        <v>45353</v>
      </c>
      <c r="R8" s="7" t="str">
        <f ca="1">IFERROR(__xludf.DUMMYFUNCTION("""COMPUTED_VALUE"""),"Terlambat")</f>
        <v>Terlambat</v>
      </c>
      <c r="S8" s="8">
        <f ca="1">IFERROR(__xludf.DUMMYFUNCTION("""COMPUTED_VALUE"""),45464)</f>
        <v>45464</v>
      </c>
      <c r="T8" s="7" t="str">
        <f ca="1">IFERROR(__xludf.DUMMYFUNCTION("""COMPUTED_VALUE"""),"Terlambat")</f>
        <v>Terlambat</v>
      </c>
      <c r="U8" s="7"/>
      <c r="V8" s="7"/>
      <c r="W8" s="7"/>
      <c r="X8" s="7"/>
      <c r="Y8" s="7"/>
      <c r="Z8" s="7"/>
      <c r="AA8" s="7" t="str">
        <f ca="1">IFERROR(__xludf.DUMMYFUNCTION("""COMPUTED_VALUE"""),"SP1")</f>
        <v>SP1</v>
      </c>
      <c r="AB8" s="9" t="str">
        <f ca="1">IFERROR(__xludf.DUMMYFUNCTION("""COMPUTED_VALUE"""),"LAPORAN 1 TERLAMBAT; LAPORAN 2 TERLAMBAT")</f>
        <v>LAPORAN 1 TERLAMBAT; LAPORAN 2 TERLAMBAT</v>
      </c>
      <c r="AC8" s="9"/>
      <c r="AD8" s="9"/>
      <c r="AE8" s="11"/>
      <c r="AF8" s="7" t="str">
        <f ca="1">IFERROR(__xludf.DUMMYFUNCTION("""COMPUTED_VALUE"""),"BITUNG")</f>
        <v>BITUNG</v>
      </c>
      <c r="AG8" s="8"/>
      <c r="AH8" s="7"/>
      <c r="AI8" s="7"/>
      <c r="AJ8" s="12" t="s">
        <v>33</v>
      </c>
      <c r="AK8" s="6"/>
      <c r="AL8" s="6"/>
      <c r="AM8" s="6"/>
      <c r="AN8" s="6"/>
      <c r="AO8" s="6"/>
    </row>
    <row r="9" spans="1:41" ht="88" x14ac:dyDescent="0.3">
      <c r="A9" s="7">
        <f ca="1">IFERROR(__xludf.DUMMYFUNCTION("""COMPUTED_VALUE"""),327)</f>
        <v>327</v>
      </c>
      <c r="B9" s="7" t="str">
        <f ca="1">IFERROR(__xludf.DUMMYFUNCTION("""COMPUTED_VALUE"""),"22.13.00163")</f>
        <v>22.13.00163</v>
      </c>
      <c r="C9" s="7" t="str">
        <f ca="1">IFERROR(__xludf.DUMMYFUNCTION("""COMPUTED_VALUE"""),"PT KEMBANG UTARA")</f>
        <v>PT KEMBANG UTARA</v>
      </c>
      <c r="D9" s="7" t="str">
        <f ca="1">IFERROR(__xludf.DUMMYFUNCTION("""COMPUTED_VALUE"""),"0811434289/yongky_m@yahoo.com")</f>
        <v>0811434289/yongky_m@yahoo.com</v>
      </c>
      <c r="E9" s="7" t="str">
        <f ca="1">IFERROR(__xludf.DUMMYFUNCTION("""COMPUTED_VALUE"""),"JL. PIERE TENDEAN BOULEVARD, KELURAHAN SARIO TUMPAAN, KECAMATAN SARIO, KOTA MANADO, PROVINSI SULAWESI UTARA")</f>
        <v>JL. PIERE TENDEAN BOULEVARD, KELURAHAN SARIO TUMPAAN, KECAMATAN SARIO, KOTA MANADO, PROVINSI SULAWESI UTARA</v>
      </c>
      <c r="F9" s="7" t="str">
        <f ca="1">IFERROR(__xludf.DUMMYFUNCTION("""COMPUTED_VALUE"""),"PERSETUJUAN")</f>
        <v>PERSETUJUAN</v>
      </c>
      <c r="G9" s="7" t="str">
        <f ca="1">IFERROR(__xludf.DUMMYFUNCTION("""COMPUTED_VALUE"""),"BERUSAHA")</f>
        <v>BERUSAHA</v>
      </c>
      <c r="H9" s="7" t="str">
        <f ca="1">IFERROR(__xludf.DUMMYFUNCTION("""COMPUTED_VALUE"""),"SULAWESI UTARA")</f>
        <v>SULAWESI UTARA</v>
      </c>
      <c r="I9" s="7" t="str">
        <f ca="1">IFERROR(__xludf.DUMMYFUNCTION("""COMPUTED_VALUE"""),"TELUK MANADO")</f>
        <v>TELUK MANADO</v>
      </c>
      <c r="J9" s="7" t="str">
        <f ca="1">IFERROR(__xludf.DUMMYFUNCTION("""COMPUTED_VALUE"""),"REKLAMASI")</f>
        <v>REKLAMASI</v>
      </c>
      <c r="K9" s="7">
        <f ca="1">IFERROR(__xludf.DUMMYFUNCTION("""COMPUTED_VALUE"""),1.14)</f>
        <v>1.1399999999999999</v>
      </c>
      <c r="L9" s="7" t="str">
        <f ca="1">IFERROR(__xludf.DUMMYFUNCTION("""COMPUTED_VALUE"""),"ha")</f>
        <v>ha</v>
      </c>
      <c r="M9" s="7"/>
      <c r="N9" s="7"/>
      <c r="O9" s="7" t="str">
        <f ca="1">IFERROR(__xludf.DUMMYFUNCTION("""COMPUTED_VALUE"""),"29072210517100002")</f>
        <v>29072210517100002</v>
      </c>
      <c r="P9" s="8">
        <f ca="1">IFERROR(__xludf.DUMMYFUNCTION("""COMPUTED_VALUE"""),44771)</f>
        <v>44771</v>
      </c>
      <c r="Q9" s="8"/>
      <c r="R9" s="7" t="str">
        <f ca="1">IFERROR(__xludf.DUMMYFUNCTION("""COMPUTED_VALUE"""),"Tidak Menyampaikan Laporan")</f>
        <v>Tidak Menyampaikan Laporan</v>
      </c>
      <c r="S9" s="7"/>
      <c r="T9" s="7" t="str">
        <f ca="1">IFERROR(__xludf.DUMMYFUNCTION("""COMPUTED_VALUE"""),"Tidak Menyampaikan Laporan")</f>
        <v>Tidak Menyampaikan Laporan</v>
      </c>
      <c r="U9" s="7"/>
      <c r="V9" s="7"/>
      <c r="W9" s="7"/>
      <c r="X9" s="7"/>
      <c r="Y9" s="7"/>
      <c r="Z9" s="7"/>
      <c r="AA9" s="7" t="str">
        <f ca="1">IFERROR(__xludf.DUMMYFUNCTION("""COMPUTED_VALUE"""),"SP1")</f>
        <v>SP1</v>
      </c>
      <c r="AB9" s="9" t="str">
        <f ca="1">IFERROR(__xludf.DUMMYFUNCTION("""COMPUTED_VALUE"""),"TIDAK MENYAMPAIKAN LAPORAN 1; TIDAK MENYAMPAIKAN LAPORAN 2")</f>
        <v>TIDAK MENYAMPAIKAN LAPORAN 1; TIDAK MENYAMPAIKAN LAPORAN 2</v>
      </c>
      <c r="AC9" s="9"/>
      <c r="AD9" s="9"/>
      <c r="AE9" s="11"/>
      <c r="AF9" s="7" t="str">
        <f ca="1">IFERROR(__xludf.DUMMYFUNCTION("""COMPUTED_VALUE"""),"BITUNG")</f>
        <v>BITUNG</v>
      </c>
      <c r="AG9" s="8"/>
      <c r="AH9" s="7"/>
      <c r="AI9" s="7"/>
      <c r="AJ9" s="7"/>
      <c r="AK9" s="6"/>
      <c r="AL9" s="6"/>
      <c r="AM9" s="6"/>
      <c r="AN9" s="6"/>
      <c r="AO9" s="6"/>
    </row>
    <row r="10" spans="1:41" ht="25.5" x14ac:dyDescent="0.3">
      <c r="A10" s="7">
        <f ca="1">IFERROR(__xludf.DUMMYFUNCTION("""COMPUTED_VALUE"""),339)</f>
        <v>339</v>
      </c>
      <c r="B10" s="7" t="str">
        <f ca="1">IFERROR(__xludf.DUMMYFUNCTION("""COMPUTED_VALUE"""),"22.13.00145")</f>
        <v>22.13.00145</v>
      </c>
      <c r="C10" s="7" t="str">
        <f ca="1">IFERROR(__xludf.DUMMYFUNCTION("""COMPUTED_VALUE"""),"PT WISATA BAHARI TIRTA PESONA MANADO")</f>
        <v>PT WISATA BAHARI TIRTA PESONA MANADO</v>
      </c>
      <c r="D10" s="7" t="str">
        <f ca="1">IFERROR(__xludf.DUMMYFUNCTION("""COMPUTED_VALUE"""),"")</f>
        <v/>
      </c>
      <c r="E10" s="7" t="str">
        <f ca="1">IFERROR(__xludf.DUMMYFUNCTION("""COMPUTED_VALUE"""),"JL. WOLTER MONGINSIDI LINGKUNGAN III, KELURAHAN BAHU, KECAMATAN MALALAYANG, KOTA MANADO, PROVINSI SULAWESI UTARA")</f>
        <v>JL. WOLTER MONGINSIDI LINGKUNGAN III, KELURAHAN BAHU, KECAMATAN MALALAYANG, KOTA MANADO, PROVINSI SULAWESI UTARA</v>
      </c>
      <c r="F10" s="7" t="str">
        <f ca="1">IFERROR(__xludf.DUMMYFUNCTION("""COMPUTED_VALUE"""),"PERSETUJUAN")</f>
        <v>PERSETUJUAN</v>
      </c>
      <c r="G10" s="7" t="str">
        <f ca="1">IFERROR(__xludf.DUMMYFUNCTION("""COMPUTED_VALUE"""),"BERUSAHA")</f>
        <v>BERUSAHA</v>
      </c>
      <c r="H10" s="7" t="str">
        <f ca="1">IFERROR(__xludf.DUMMYFUNCTION("""COMPUTED_VALUE"""),"SULAWESI UTARA")</f>
        <v>SULAWESI UTARA</v>
      </c>
      <c r="I10" s="7" t="str">
        <f ca="1">IFERROR(__xludf.DUMMYFUNCTION("""COMPUTED_VALUE"""),"TELUK MANADO")</f>
        <v>TELUK MANADO</v>
      </c>
      <c r="J10" s="7" t="str">
        <f ca="1">IFERROR(__xludf.DUMMYFUNCTION("""COMPUTED_VALUE"""),"BANGUNAN RESTORAN DI ATAS LAUT")</f>
        <v>BANGUNAN RESTORAN DI ATAS LAUT</v>
      </c>
      <c r="K10" s="7">
        <f ca="1">IFERROR(__xludf.DUMMYFUNCTION("""COMPUTED_VALUE"""),0.52)</f>
        <v>0.52</v>
      </c>
      <c r="L10" s="7" t="str">
        <f ca="1">IFERROR(__xludf.DUMMYFUNCTION("""COMPUTED_VALUE"""),"ha")</f>
        <v>ha</v>
      </c>
      <c r="M10" s="7"/>
      <c r="N10" s="7"/>
      <c r="O10" s="7" t="str">
        <f ca="1">IFERROR(__xludf.DUMMYFUNCTION("""COMPUTED_VALUE"""),"01082210517100003")</f>
        <v>01082210517100003</v>
      </c>
      <c r="P10" s="8">
        <f ca="1">IFERROR(__xludf.DUMMYFUNCTION("""COMPUTED_VALUE"""),44774)</f>
        <v>44774</v>
      </c>
      <c r="Q10" s="8">
        <f ca="1">IFERROR(__xludf.DUMMYFUNCTION("""COMPUTED_VALUE"""),45482)</f>
        <v>45482</v>
      </c>
      <c r="R10" s="7" t="str">
        <f ca="1">IFERROR(__xludf.DUMMYFUNCTION("""COMPUTED_VALUE"""),"Terlambat")</f>
        <v>Terlambat</v>
      </c>
      <c r="S10" s="8">
        <f ca="1">IFERROR(__xludf.DUMMYFUNCTION("""COMPUTED_VALUE"""),45483)</f>
        <v>45483</v>
      </c>
      <c r="T10" s="7" t="str">
        <f ca="1">IFERROR(__xludf.DUMMYFUNCTION("""COMPUTED_VALUE"""),"Tepat Waktu")</f>
        <v>Tepat Waktu</v>
      </c>
      <c r="U10" s="8"/>
      <c r="V10" s="7"/>
      <c r="W10" s="7"/>
      <c r="X10" s="7"/>
      <c r="Y10" s="7"/>
      <c r="Z10" s="7"/>
      <c r="AA10" s="7" t="str">
        <f ca="1">IFERROR(__xludf.DUMMYFUNCTION("""COMPUTED_VALUE"""),"SP1")</f>
        <v>SP1</v>
      </c>
      <c r="AB10" s="9" t="str">
        <f ca="1">IFERROR(__xludf.DUMMYFUNCTION("""COMPUTED_VALUE"""),"LAPORAN 1 TERLAMBAT")</f>
        <v>LAPORAN 1 TERLAMBAT</v>
      </c>
      <c r="AC10" s="9"/>
      <c r="AD10" s="9"/>
      <c r="AE10" s="9"/>
      <c r="AF10" s="7" t="str">
        <f ca="1">IFERROR(__xludf.DUMMYFUNCTION("""COMPUTED_VALUE"""),"BITUNG")</f>
        <v>BITUNG</v>
      </c>
      <c r="AG10" s="7"/>
      <c r="AH10" s="7"/>
      <c r="AI10" s="7"/>
      <c r="AJ10" s="7"/>
      <c r="AK10" s="6"/>
      <c r="AL10" s="6"/>
      <c r="AM10" s="6"/>
      <c r="AN10" s="6"/>
      <c r="AO10" s="6"/>
    </row>
    <row r="11" spans="1:41" ht="25.5" x14ac:dyDescent="0.3">
      <c r="A11" s="7">
        <f ca="1">IFERROR(__xludf.DUMMYFUNCTION("""COMPUTED_VALUE"""),340)</f>
        <v>340</v>
      </c>
      <c r="B11" s="7" t="str">
        <f ca="1">IFERROR(__xludf.DUMMYFUNCTION("""COMPUTED_VALUE"""),"22.13.00146")</f>
        <v>22.13.00146</v>
      </c>
      <c r="C11" s="7" t="str">
        <f ca="1">IFERROR(__xludf.DUMMYFUNCTION("""COMPUTED_VALUE"""),"PT YASMIN BUMI ASRI")</f>
        <v>PT YASMIN BUMI ASRI</v>
      </c>
      <c r="D11" s="7" t="str">
        <f ca="1">IFERROR(__xludf.DUMMYFUNCTION("""COMPUTED_VALUE"""),"")</f>
        <v/>
      </c>
      <c r="E11" s="7" t="str">
        <f ca="1">IFERROR(__xludf.DUMMYFUNCTION("""COMPUTED_VALUE"""),"JL. METRO TANJUNG BUNGA KAWASAN CENTREPOINT OF INDONESIA, KELURAHAN MACCINI SOMBALA, KECAMATAN TAMALATE, KOTA MAKASSAR, PROVINSI SULAWESI SELATAN")</f>
        <v>JL. METRO TANJUNG BUNGA KAWASAN CENTREPOINT OF INDONESIA, KELURAHAN MACCINI SOMBALA, KECAMATAN TAMALATE, KOTA MAKASSAR, PROVINSI SULAWESI SELATAN</v>
      </c>
      <c r="F11" s="7" t="str">
        <f ca="1">IFERROR(__xludf.DUMMYFUNCTION("""COMPUTED_VALUE"""),"PERSETUJUAN")</f>
        <v>PERSETUJUAN</v>
      </c>
      <c r="G11" s="7" t="str">
        <f ca="1">IFERROR(__xludf.DUMMYFUNCTION("""COMPUTED_VALUE"""),"BERUSAHA")</f>
        <v>BERUSAHA</v>
      </c>
      <c r="H11" s="7" t="str">
        <f ca="1">IFERROR(__xludf.DUMMYFUNCTION("""COMPUTED_VALUE"""),"SULAWESI SELATAN")</f>
        <v>SULAWESI SELATAN</v>
      </c>
      <c r="I11" s="7" t="str">
        <f ca="1">IFERROR(__xludf.DUMMYFUNCTION("""COMPUTED_VALUE"""),"SELAT MAKASSAR")</f>
        <v>SELAT MAKASSAR</v>
      </c>
      <c r="J11" s="7" t="str">
        <f ca="1">IFERROR(__xludf.DUMMYFUNCTION("""COMPUTED_VALUE"""),"REKLAMASI PULAU LAE-LAE")</f>
        <v>REKLAMASI PULAU LAE-LAE</v>
      </c>
      <c r="K11" s="7">
        <f ca="1">IFERROR(__xludf.DUMMYFUNCTION("""COMPUTED_VALUE"""),14.11)</f>
        <v>14.11</v>
      </c>
      <c r="L11" s="7" t="str">
        <f ca="1">IFERROR(__xludf.DUMMYFUNCTION("""COMPUTED_VALUE"""),"ha")</f>
        <v>ha</v>
      </c>
      <c r="M11" s="7"/>
      <c r="N11" s="7"/>
      <c r="O11" s="7" t="str">
        <f ca="1">IFERROR(__xludf.DUMMYFUNCTION("""COMPUTED_VALUE"""),"01082210517300004")</f>
        <v>01082210517300004</v>
      </c>
      <c r="P11" s="8">
        <f ca="1">IFERROR(__xludf.DUMMYFUNCTION("""COMPUTED_VALUE"""),44774)</f>
        <v>44774</v>
      </c>
      <c r="Q11" s="8">
        <f ca="1">IFERROR(__xludf.DUMMYFUNCTION("""COMPUTED_VALUE"""),45159)</f>
        <v>45159</v>
      </c>
      <c r="R11" s="7" t="str">
        <f ca="1">IFERROR(__xludf.DUMMYFUNCTION("""COMPUTED_VALUE"""),"Terlambat")</f>
        <v>Terlambat</v>
      </c>
      <c r="S11" s="8">
        <f ca="1">IFERROR(__xludf.DUMMYFUNCTION("""COMPUTED_VALUE"""),45488)</f>
        <v>45488</v>
      </c>
      <c r="T11" s="7" t="str">
        <f ca="1">IFERROR(__xludf.DUMMYFUNCTION("""COMPUTED_VALUE"""),"Tepat Waktu")</f>
        <v>Tepat Waktu</v>
      </c>
      <c r="U11" s="7"/>
      <c r="V11" s="7"/>
      <c r="W11" s="7"/>
      <c r="X11" s="7"/>
      <c r="Y11" s="7"/>
      <c r="Z11" s="7"/>
      <c r="AA11" s="7" t="str">
        <f ca="1">IFERROR(__xludf.DUMMYFUNCTION("""COMPUTED_VALUE"""),"SP1")</f>
        <v>SP1</v>
      </c>
      <c r="AB11" s="9" t="str">
        <f ca="1">IFERROR(__xludf.DUMMYFUNCTION("""COMPUTED_VALUE"""),"LAPORAN 1 TERLAMBAT")</f>
        <v>LAPORAN 1 TERLAMBAT</v>
      </c>
      <c r="AC11" s="9"/>
      <c r="AD11" s="9"/>
      <c r="AE11" s="11"/>
      <c r="AF11" s="7" t="str">
        <f ca="1">IFERROR(__xludf.DUMMYFUNCTION("""COMPUTED_VALUE"""),"BITUNG")</f>
        <v>BITUNG</v>
      </c>
      <c r="AG11" s="8"/>
      <c r="AH11" s="7"/>
      <c r="AI11" s="7"/>
      <c r="AJ11" s="7"/>
      <c r="AK11" s="6"/>
      <c r="AL11" s="6"/>
      <c r="AM11" s="6"/>
      <c r="AN11" s="6"/>
      <c r="AO11" s="6"/>
    </row>
    <row r="12" spans="1:41" ht="75.5" x14ac:dyDescent="0.3">
      <c r="A12" s="7">
        <f ca="1">IFERROR(__xludf.DUMMYFUNCTION("""COMPUTED_VALUE"""),386)</f>
        <v>386</v>
      </c>
      <c r="B12" s="7" t="str">
        <f ca="1">IFERROR(__xludf.DUMMYFUNCTION("""COMPUTED_VALUE"""),"22.13.00188")</f>
        <v>22.13.00188</v>
      </c>
      <c r="C12" s="7" t="str">
        <f ca="1">IFERROR(__xludf.DUMMYFUNCTION("""COMPUTED_VALUE"""),"PT BUMI MINERAL SULAWESI")</f>
        <v>PT BUMI MINERAL SULAWESI</v>
      </c>
      <c r="D12" s="7" t="str">
        <f ca="1">IFERROR(__xludf.DUMMYFUNCTION("""COMPUTED_VALUE"""),"")</f>
        <v/>
      </c>
      <c r="E12" s="7" t="str">
        <f ca="1">IFERROR(__xludf.DUMMYFUNCTION("""COMPUTED_VALUE"""),"GEDUNG CYBER 2 TOWER JL. HR. RASUNA SAID BLOK.X-5 NO.13, , KOTA JAKARTA SELATAN, PROVINSI DKI JAKARTA")</f>
        <v>GEDUNG CYBER 2 TOWER JL. HR. RASUNA SAID BLOK.X-5 NO.13, , KOTA JAKARTA SELATAN, PROVINSI DKI JAKARTA</v>
      </c>
      <c r="F12" s="7" t="str">
        <f ca="1">IFERROR(__xludf.DUMMYFUNCTION("""COMPUTED_VALUE"""),"PERSETUJUAN")</f>
        <v>PERSETUJUAN</v>
      </c>
      <c r="G12" s="7" t="str">
        <f ca="1">IFERROR(__xludf.DUMMYFUNCTION("""COMPUTED_VALUE"""),"BERUSAHA")</f>
        <v>BERUSAHA</v>
      </c>
      <c r="H12" s="7" t="str">
        <f ca="1">IFERROR(__xludf.DUMMYFUNCTION("""COMPUTED_VALUE"""),"SULAWESI SELATAN")</f>
        <v>SULAWESI SELATAN</v>
      </c>
      <c r="I12" s="7" t="str">
        <f ca="1">IFERROR(__xludf.DUMMYFUNCTION("""COMPUTED_VALUE"""),"TELUK BONE")</f>
        <v>TELUK BONE</v>
      </c>
      <c r="J12" s="7" t="str">
        <f ca="1">IFERROR(__xludf.DUMMYFUNCTION("""COMPUTED_VALUE"""),"TERMINAL KHUSUS")</f>
        <v>TERMINAL KHUSUS</v>
      </c>
      <c r="K12" s="7">
        <f ca="1">IFERROR(__xludf.DUMMYFUNCTION("""COMPUTED_VALUE"""),20.3)</f>
        <v>20.3</v>
      </c>
      <c r="L12" s="7" t="str">
        <f ca="1">IFERROR(__xludf.DUMMYFUNCTION("""COMPUTED_VALUE"""),"ha")</f>
        <v>ha</v>
      </c>
      <c r="M12" s="7"/>
      <c r="N12" s="7"/>
      <c r="O12" s="7" t="str">
        <f ca="1">IFERROR(__xludf.DUMMYFUNCTION("""COMPUTED_VALUE"""),"22082210517300005")</f>
        <v>22082210517300005</v>
      </c>
      <c r="P12" s="8">
        <f ca="1">IFERROR(__xludf.DUMMYFUNCTION("""COMPUTED_VALUE"""),44795)</f>
        <v>44795</v>
      </c>
      <c r="Q12" s="8">
        <f ca="1">IFERROR(__xludf.DUMMYFUNCTION("""COMPUTED_VALUE"""),45338)</f>
        <v>45338</v>
      </c>
      <c r="R12" s="7" t="str">
        <f ca="1">IFERROR(__xludf.DUMMYFUNCTION("""COMPUTED_VALUE"""),"Terlambat")</f>
        <v>Terlambat</v>
      </c>
      <c r="S12" s="7"/>
      <c r="T12" s="7" t="str">
        <f ca="1">IFERROR(__xludf.DUMMYFUNCTION("""COMPUTED_VALUE"""),"Tidak Menyampaikan Laporan")</f>
        <v>Tidak Menyampaikan Laporan</v>
      </c>
      <c r="U12" s="7"/>
      <c r="V12" s="7"/>
      <c r="W12" s="7"/>
      <c r="X12" s="7"/>
      <c r="Y12" s="7"/>
      <c r="Z12" s="7"/>
      <c r="AA12" s="7" t="str">
        <f ca="1">IFERROR(__xludf.DUMMYFUNCTION("""COMPUTED_VALUE"""),"SP1")</f>
        <v>SP1</v>
      </c>
      <c r="AB12" s="9" t="str">
        <f ca="1">IFERROR(__xludf.DUMMYFUNCTION("""COMPUTED_VALUE"""),"LAPORAN 1 TERLAMBAT; TIDAK MENYAMPAIKAN LAPORAN 2")</f>
        <v>LAPORAN 1 TERLAMBAT; TIDAK MENYAMPAIKAN LAPORAN 2</v>
      </c>
      <c r="AC12" s="9"/>
      <c r="AD12" s="9"/>
      <c r="AE12" s="11"/>
      <c r="AF12" s="7" t="str">
        <f ca="1">IFERROR(__xludf.DUMMYFUNCTION("""COMPUTED_VALUE"""),"BITUNG")</f>
        <v>BITUNG</v>
      </c>
      <c r="AG12" s="8"/>
      <c r="AH12" s="7"/>
      <c r="AI12" s="7"/>
      <c r="AJ12" s="7"/>
      <c r="AK12" s="6"/>
      <c r="AL12" s="6"/>
      <c r="AM12" s="6"/>
      <c r="AN12" s="6"/>
      <c r="AO12" s="6"/>
    </row>
    <row r="13" spans="1:41" ht="88" x14ac:dyDescent="0.3">
      <c r="A13" s="7">
        <f ca="1">IFERROR(__xludf.DUMMYFUNCTION("""COMPUTED_VALUE"""),392)</f>
        <v>392</v>
      </c>
      <c r="B13" s="7" t="str">
        <f ca="1">IFERROR(__xludf.DUMMYFUNCTION("""COMPUTED_VALUE"""),"22.13.00194")</f>
        <v>22.13.00194</v>
      </c>
      <c r="C13" s="7" t="str">
        <f ca="1">IFERROR(__xludf.DUMMYFUNCTION("""COMPUTED_VALUE"""),"PT INDO MINA GRASIA")</f>
        <v>PT INDO MINA GRASIA</v>
      </c>
      <c r="D13" s="7" t="str">
        <f ca="1">IFERROR(__xludf.DUMMYFUNCTION("""COMPUTED_VALUE"""),"081310122833/pt.indominagrasia@gmail.com")</f>
        <v>081310122833/pt.indominagrasia@gmail.com</v>
      </c>
      <c r="E13" s="7" t="str">
        <f ca="1">IFERROR(__xludf.DUMMYFUNCTION("""COMPUTED_VALUE"""),"LINGKUNGAN III, KELURAHAN TANJUNG MERAH, KECAMATAN MATUARI, KOTA BITUNG, PROVINSI SULAWESI UTARA")</f>
        <v>LINGKUNGAN III, KELURAHAN TANJUNG MERAH, KECAMATAN MATUARI, KOTA BITUNG, PROVINSI SULAWESI UTARA</v>
      </c>
      <c r="F13" s="7" t="str">
        <f ca="1">IFERROR(__xludf.DUMMYFUNCTION("""COMPUTED_VALUE"""),"PERSETUJUAN")</f>
        <v>PERSETUJUAN</v>
      </c>
      <c r="G13" s="7" t="str">
        <f ca="1">IFERROR(__xludf.DUMMYFUNCTION("""COMPUTED_VALUE"""),"BERUSAHA")</f>
        <v>BERUSAHA</v>
      </c>
      <c r="H13" s="7" t="str">
        <f ca="1">IFERROR(__xludf.DUMMYFUNCTION("""COMPUTED_VALUE"""),"SULAWESI UTARA")</f>
        <v>SULAWESI UTARA</v>
      </c>
      <c r="I13" s="7" t="str">
        <f ca="1">IFERROR(__xludf.DUMMYFUNCTION("""COMPUTED_VALUE"""),"SELAT LEMBEH")</f>
        <v>SELAT LEMBEH</v>
      </c>
      <c r="J13" s="7" t="str">
        <f ca="1">IFERROR(__xludf.DUMMYFUNCTION("""COMPUTED_VALUE"""),"PEMBANGUNAN DERMAGA")</f>
        <v>PEMBANGUNAN DERMAGA</v>
      </c>
      <c r="K13" s="7">
        <f ca="1">IFERROR(__xludf.DUMMYFUNCTION("""COMPUTED_VALUE"""),1.43)</f>
        <v>1.43</v>
      </c>
      <c r="L13" s="7" t="str">
        <f ca="1">IFERROR(__xludf.DUMMYFUNCTION("""COMPUTED_VALUE"""),"ha")</f>
        <v>ha</v>
      </c>
      <c r="M13" s="7"/>
      <c r="N13" s="7"/>
      <c r="O13" s="7" t="str">
        <f ca="1">IFERROR(__xludf.DUMMYFUNCTION("""COMPUTED_VALUE"""),"24082210517100004")</f>
        <v>24082210517100004</v>
      </c>
      <c r="P13" s="8">
        <f ca="1">IFERROR(__xludf.DUMMYFUNCTION("""COMPUTED_VALUE"""),44797)</f>
        <v>44797</v>
      </c>
      <c r="Q13" s="8"/>
      <c r="R13" s="7" t="str">
        <f ca="1">IFERROR(__xludf.DUMMYFUNCTION("""COMPUTED_VALUE"""),"Tidak Menyampaikan Laporan")</f>
        <v>Tidak Menyampaikan Laporan</v>
      </c>
      <c r="S13" s="7"/>
      <c r="T13" s="7" t="str">
        <f ca="1">IFERROR(__xludf.DUMMYFUNCTION("""COMPUTED_VALUE"""),"Tidak Menyampaikan Laporan")</f>
        <v>Tidak Menyampaikan Laporan</v>
      </c>
      <c r="U13" s="7"/>
      <c r="V13" s="7"/>
      <c r="W13" s="7"/>
      <c r="X13" s="7"/>
      <c r="Y13" s="7"/>
      <c r="Z13" s="7"/>
      <c r="AA13" s="7" t="str">
        <f ca="1">IFERROR(__xludf.DUMMYFUNCTION("""COMPUTED_VALUE"""),"SP1")</f>
        <v>SP1</v>
      </c>
      <c r="AB13" s="9" t="str">
        <f ca="1">IFERROR(__xludf.DUMMYFUNCTION("""COMPUTED_VALUE"""),"TIDAK MENYAMPAIKAN LAPORAN 1; TIDAK MENYAMPAIKAN LAPORAN 2")</f>
        <v>TIDAK MENYAMPAIKAN LAPORAN 1; TIDAK MENYAMPAIKAN LAPORAN 2</v>
      </c>
      <c r="AC13" s="9"/>
      <c r="AD13" s="9"/>
      <c r="AE13" s="11"/>
      <c r="AF13" s="7" t="str">
        <f ca="1">IFERROR(__xludf.DUMMYFUNCTION("""COMPUTED_VALUE"""),"BITUNG")</f>
        <v>BITUNG</v>
      </c>
      <c r="AG13" s="8"/>
      <c r="AH13" s="7"/>
      <c r="AI13" s="7"/>
      <c r="AJ13" s="7"/>
      <c r="AK13" s="6"/>
      <c r="AL13" s="6"/>
      <c r="AM13" s="6"/>
      <c r="AN13" s="6"/>
      <c r="AO13" s="6"/>
    </row>
    <row r="14" spans="1:41" ht="75.5" x14ac:dyDescent="0.3">
      <c r="A14" s="7">
        <f ca="1">IFERROR(__xludf.DUMMYFUNCTION("""COMPUTED_VALUE"""),450)</f>
        <v>450</v>
      </c>
      <c r="B14" s="7" t="str">
        <f ca="1">IFERROR(__xludf.DUMMYFUNCTION("""COMPUTED_VALUE"""),"22.13.00253")</f>
        <v>22.13.00253</v>
      </c>
      <c r="C14" s="7" t="str">
        <f ca="1">IFERROR(__xludf.DUMMYFUNCTION("""COMPUTED_VALUE"""),"PT MAHAKARYA SENTRA MINERAL")</f>
        <v>PT MAHAKARYA SENTRA MINERAL</v>
      </c>
      <c r="D14" s="7" t="str">
        <f ca="1">IFERROR(__xludf.DUMMYFUNCTION("""COMPUTED_VALUE"""),"")</f>
        <v/>
      </c>
      <c r="E14" s="7" t="str">
        <f ca="1">IFERROR(__xludf.DUMMYFUNCTION("""COMPUTED_VALUE"""),"JL. PLUIT BARAT I NO. 45, , KOTA JAKARTA UTARA, PROVINSI DKI JAKARTA")</f>
        <v>JL. PLUIT BARAT I NO. 45, , KOTA JAKARTA UTARA, PROVINSI DKI JAKARTA</v>
      </c>
      <c r="F14" s="7" t="str">
        <f ca="1">IFERROR(__xludf.DUMMYFUNCTION("""COMPUTED_VALUE"""),"PERSETUJUAN")</f>
        <v>PERSETUJUAN</v>
      </c>
      <c r="G14" s="7" t="str">
        <f ca="1">IFERROR(__xludf.DUMMYFUNCTION("""COMPUTED_VALUE"""),"BERUSAHA")</f>
        <v>BERUSAHA</v>
      </c>
      <c r="H14" s="7" t="str">
        <f ca="1">IFERROR(__xludf.DUMMYFUNCTION("""COMPUTED_VALUE"""),"SULAWESI TENGAH")</f>
        <v>SULAWESI TENGAH</v>
      </c>
      <c r="I14" s="7" t="str">
        <f ca="1">IFERROR(__xludf.DUMMYFUNCTION("""COMPUTED_VALUE"""),"LAUT BANDA")</f>
        <v>LAUT BANDA</v>
      </c>
      <c r="J14" s="7" t="str">
        <f ca="1">IFERROR(__xludf.DUMMYFUNCTION("""COMPUTED_VALUE"""),"PEMBANGUNAN TERMINAL KHUSUS DAN STOCKPILE")</f>
        <v>PEMBANGUNAN TERMINAL KHUSUS DAN STOCKPILE</v>
      </c>
      <c r="K14" s="7">
        <f ca="1">IFERROR(__xludf.DUMMYFUNCTION("""COMPUTED_VALUE"""),8.19)</f>
        <v>8.19</v>
      </c>
      <c r="L14" s="7" t="str">
        <f ca="1">IFERROR(__xludf.DUMMYFUNCTION("""COMPUTED_VALUE"""),"ha")</f>
        <v>ha</v>
      </c>
      <c r="M14" s="7"/>
      <c r="N14" s="7"/>
      <c r="O14" s="7" t="str">
        <f ca="1">IFERROR(__xludf.DUMMYFUNCTION("""COMPUTED_VALUE"""),"28092210517200001")</f>
        <v>28092210517200001</v>
      </c>
      <c r="P14" s="8">
        <f ca="1">IFERROR(__xludf.DUMMYFUNCTION("""COMPUTED_VALUE"""),44832)</f>
        <v>44832</v>
      </c>
      <c r="Q14" s="8">
        <f ca="1">IFERROR(__xludf.DUMMYFUNCTION("""COMPUTED_VALUE"""),45415)</f>
        <v>45415</v>
      </c>
      <c r="R14" s="7" t="str">
        <f ca="1">IFERROR(__xludf.DUMMYFUNCTION("""COMPUTED_VALUE"""),"Terlambat")</f>
        <v>Terlambat</v>
      </c>
      <c r="S14" s="8"/>
      <c r="T14" s="7" t="str">
        <f ca="1">IFERROR(__xludf.DUMMYFUNCTION("""COMPUTED_VALUE"""),"Tidak Menyampaikan Laporan")</f>
        <v>Tidak Menyampaikan Laporan</v>
      </c>
      <c r="U14" s="7"/>
      <c r="V14" s="7"/>
      <c r="W14" s="7"/>
      <c r="X14" s="7"/>
      <c r="Y14" s="7"/>
      <c r="Z14" s="7"/>
      <c r="AA14" s="7" t="str">
        <f ca="1">IFERROR(__xludf.DUMMYFUNCTION("""COMPUTED_VALUE"""),"SP1")</f>
        <v>SP1</v>
      </c>
      <c r="AB14" s="9" t="str">
        <f ca="1">IFERROR(__xludf.DUMMYFUNCTION("""COMPUTED_VALUE"""),"LAPORAN 1 TERLAMBAT; TIDAK MENYAMPAIKAN LAPORAN 2")</f>
        <v>LAPORAN 1 TERLAMBAT; TIDAK MENYAMPAIKAN LAPORAN 2</v>
      </c>
      <c r="AC14" s="9"/>
      <c r="AD14" s="9"/>
      <c r="AE14" s="11"/>
      <c r="AF14" s="7" t="str">
        <f ca="1">IFERROR(__xludf.DUMMYFUNCTION("""COMPUTED_VALUE"""),"BITUNG")</f>
        <v>BITUNG</v>
      </c>
      <c r="AG14" s="7" t="str">
        <f ca="1">IFERROR(__xludf.DUMMYFUNCTION("""COMPUTED_VALUE"""),"SP2")</f>
        <v>SP2</v>
      </c>
      <c r="AH14" s="7"/>
      <c r="AI14" s="7"/>
      <c r="AJ14" s="7"/>
      <c r="AK14" s="6"/>
      <c r="AL14" s="6"/>
      <c r="AM14" s="6"/>
      <c r="AN14" s="6"/>
      <c r="AO14" s="6"/>
    </row>
    <row r="15" spans="1:41" ht="50.5" x14ac:dyDescent="0.3">
      <c r="A15" s="7">
        <f ca="1">IFERROR(__xludf.DUMMYFUNCTION("""COMPUTED_VALUE"""),458)</f>
        <v>458</v>
      </c>
      <c r="B15" s="7" t="str">
        <f ca="1">IFERROR(__xludf.DUMMYFUNCTION("""COMPUTED_VALUE"""),"22.13.00255")</f>
        <v>22.13.00255</v>
      </c>
      <c r="C15" s="7" t="str">
        <f ca="1">IFERROR(__xludf.DUMMYFUNCTION("""COMPUTED_VALUE"""),"PT ANUGRAH TAMBANG INDUSTRI")</f>
        <v>PT ANUGRAH TAMBANG INDUSTRI</v>
      </c>
      <c r="D15" s="7" t="str">
        <f ca="1">IFERROR(__xludf.DUMMYFUNCTION("""COMPUTED_VALUE"""),"")</f>
        <v/>
      </c>
      <c r="E15" s="7" t="str">
        <f ca="1">IFERROR(__xludf.DUMMYFUNCTION("""COMPUTED_VALUE"""),"GRAHA INDOCHEM LANTAI. 2, JL. PANTAI INDAH KAPUK BOULEVARD KAVELING SSB/E PANTAI INDAH KAPUK, KELURAHAN KAPUK MUARA, KECAMATAN PENJARINGAN, KOTA JAKARTA UTARA, PROVINSI DKI JAKARTA")</f>
        <v>GRAHA INDOCHEM LANTAI. 2, JL. PANTAI INDAH KAPUK BOULEVARD KAVELING SSB/E PANTAI INDAH KAPUK, KELURAHAN KAPUK MUARA, KECAMATAN PENJARINGAN, KOTA JAKARTA UTARA, PROVINSI DKI JAKARTA</v>
      </c>
      <c r="F15" s="7" t="str">
        <f ca="1">IFERROR(__xludf.DUMMYFUNCTION("""COMPUTED_VALUE"""),"PERSETUJUAN")</f>
        <v>PERSETUJUAN</v>
      </c>
      <c r="G15" s="7" t="str">
        <f ca="1">IFERROR(__xludf.DUMMYFUNCTION("""COMPUTED_VALUE"""),"BERUSAHA")</f>
        <v>BERUSAHA</v>
      </c>
      <c r="H15" s="7" t="str">
        <f ca="1">IFERROR(__xludf.DUMMYFUNCTION("""COMPUTED_VALUE"""),"SULAWESI TENGAH")</f>
        <v>SULAWESI TENGAH</v>
      </c>
      <c r="I15" s="7" t="str">
        <f ca="1">IFERROR(__xludf.DUMMYFUNCTION("""COMPUTED_VALUE"""),"LAUT BANDA")</f>
        <v>LAUT BANDA</v>
      </c>
      <c r="J15" s="7" t="str">
        <f ca="1">IFERROR(__xludf.DUMMYFUNCTION("""COMPUTED_VALUE"""),"PEMBANGUNAN KAWASAN INDUSTRI MELIPUTI REKLAMASI, TERMINAL KHUSUS SERTA SARANA PENUNJANG LAINNYA")</f>
        <v>PEMBANGUNAN KAWASAN INDUSTRI MELIPUTI REKLAMASI, TERMINAL KHUSUS SERTA SARANA PENUNJANG LAINNYA</v>
      </c>
      <c r="K15" s="7">
        <f ca="1">IFERROR(__xludf.DUMMYFUNCTION("""COMPUTED_VALUE"""),104.41)</f>
        <v>104.41</v>
      </c>
      <c r="L15" s="7" t="str">
        <f ca="1">IFERROR(__xludf.DUMMYFUNCTION("""COMPUTED_VALUE"""),"ha")</f>
        <v>ha</v>
      </c>
      <c r="M15" s="7"/>
      <c r="N15" s="7"/>
      <c r="O15" s="7" t="str">
        <f ca="1">IFERROR(__xludf.DUMMYFUNCTION("""COMPUTED_VALUE"""),"06102210517200002")</f>
        <v>06102210517200002</v>
      </c>
      <c r="P15" s="8">
        <f ca="1">IFERROR(__xludf.DUMMYFUNCTION("""COMPUTED_VALUE"""),44840)</f>
        <v>44840</v>
      </c>
      <c r="Q15" s="8">
        <f ca="1">IFERROR(__xludf.DUMMYFUNCTION("""COMPUTED_VALUE"""),45371)</f>
        <v>45371</v>
      </c>
      <c r="R15" s="7" t="str">
        <f ca="1">IFERROR(__xludf.DUMMYFUNCTION("""COMPUTED_VALUE"""),"Terlambat")</f>
        <v>Terlambat</v>
      </c>
      <c r="S15" s="8">
        <f ca="1">IFERROR(__xludf.DUMMYFUNCTION("""COMPUTED_VALUE"""),45601)</f>
        <v>45601</v>
      </c>
      <c r="T15" s="7" t="str">
        <f ca="1">IFERROR(__xludf.DUMMYFUNCTION("""COMPUTED_VALUE"""),"Terlambat")</f>
        <v>Terlambat</v>
      </c>
      <c r="U15" s="8"/>
      <c r="V15" s="7"/>
      <c r="W15" s="7"/>
      <c r="X15" s="7"/>
      <c r="Y15" s="7"/>
      <c r="Z15" s="7"/>
      <c r="AA15" s="7" t="str">
        <f ca="1">IFERROR(__xludf.DUMMYFUNCTION("""COMPUTED_VALUE"""),"SP1")</f>
        <v>SP1</v>
      </c>
      <c r="AB15" s="9" t="str">
        <f ca="1">IFERROR(__xludf.DUMMYFUNCTION("""COMPUTED_VALUE"""),"LAPORAN 1 TERLAMBAT; LAPORAN 2 TERLAMBAT")</f>
        <v>LAPORAN 1 TERLAMBAT; LAPORAN 2 TERLAMBAT</v>
      </c>
      <c r="AC15" s="9"/>
      <c r="AD15" s="9"/>
      <c r="AE15" s="11"/>
      <c r="AF15" s="7" t="str">
        <f ca="1">IFERROR(__xludf.DUMMYFUNCTION("""COMPUTED_VALUE"""),"BITUNG")</f>
        <v>BITUNG</v>
      </c>
      <c r="AG15" s="8"/>
      <c r="AH15" s="7"/>
      <c r="AI15" s="7"/>
      <c r="AJ15" s="7"/>
      <c r="AK15" s="6"/>
      <c r="AL15" s="6"/>
      <c r="AM15" s="6"/>
      <c r="AN15" s="6"/>
      <c r="AO15" s="6"/>
    </row>
    <row r="16" spans="1:41" ht="75.5" x14ac:dyDescent="0.3">
      <c r="A16" s="7">
        <f ca="1">IFERROR(__xludf.DUMMYFUNCTION("""COMPUTED_VALUE"""),462)</f>
        <v>462</v>
      </c>
      <c r="B16" s="7" t="str">
        <f ca="1">IFERROR(__xludf.DUMMYFUNCTION("""COMPUTED_VALUE"""),"22.13.00263")</f>
        <v>22.13.00263</v>
      </c>
      <c r="C16" s="7" t="str">
        <f ca="1">IFERROR(__xludf.DUMMYFUNCTION("""COMPUTED_VALUE"""),"PT NUSANTARA INDUSTRI SEJATI")</f>
        <v>PT NUSANTARA INDUSTRI SEJATI</v>
      </c>
      <c r="D16" s="7" t="str">
        <f ca="1">IFERROR(__xludf.DUMMYFUNCTION("""COMPUTED_VALUE"""),"")</f>
        <v/>
      </c>
      <c r="E16" s="7" t="str">
        <f ca="1">IFERROR(__xludf.DUMMYFUNCTION("""COMPUTED_VALUE"""),"JL. CEMPAKA PUTIH TIMUR RAYA NO. 5, KELURAHAN CEMPAKA PUTIH TIMUR, KECAMATAN CEMPAKA PUTIH, KOTA JAKARTA PUSAT, PROVINSI DKI JAKARTA")</f>
        <v>JL. CEMPAKA PUTIH TIMUR RAYA NO. 5, KELURAHAN CEMPAKA PUTIH TIMUR, KECAMATAN CEMPAKA PUTIH, KOTA JAKARTA PUSAT, PROVINSI DKI JAKARTA</v>
      </c>
      <c r="F16" s="7" t="str">
        <f ca="1">IFERROR(__xludf.DUMMYFUNCTION("""COMPUTED_VALUE"""),"PERSETUJUAN")</f>
        <v>PERSETUJUAN</v>
      </c>
      <c r="G16" s="7" t="str">
        <f ca="1">IFERROR(__xludf.DUMMYFUNCTION("""COMPUTED_VALUE"""),"BERUSAHA")</f>
        <v>BERUSAHA</v>
      </c>
      <c r="H16" s="7" t="str">
        <f ca="1">IFERROR(__xludf.DUMMYFUNCTION("""COMPUTED_VALUE"""),"SULAWESI TENGGARA")</f>
        <v>SULAWESI TENGGARA</v>
      </c>
      <c r="I16" s="7" t="str">
        <f ca="1">IFERROR(__xludf.DUMMYFUNCTION("""COMPUTED_VALUE"""),"TELUK LASOLO")</f>
        <v>TELUK LASOLO</v>
      </c>
      <c r="J16" s="7" t="str">
        <f ca="1">IFERROR(__xludf.DUMMYFUNCTION("""COMPUTED_VALUE"""),"TERMINAL KHUSUS")</f>
        <v>TERMINAL KHUSUS</v>
      </c>
      <c r="K16" s="7">
        <f ca="1">IFERROR(__xludf.DUMMYFUNCTION("""COMPUTED_VALUE"""),137.21)</f>
        <v>137.21</v>
      </c>
      <c r="L16" s="7" t="str">
        <f ca="1">IFERROR(__xludf.DUMMYFUNCTION("""COMPUTED_VALUE"""),"ha")</f>
        <v>ha</v>
      </c>
      <c r="M16" s="7"/>
      <c r="N16" s="7"/>
      <c r="O16" s="7" t="str">
        <f ca="1">IFERROR(__xludf.DUMMYFUNCTION("""COMPUTED_VALUE"""),"10102210517400006")</f>
        <v>10102210517400006</v>
      </c>
      <c r="P16" s="8">
        <f ca="1">IFERROR(__xludf.DUMMYFUNCTION("""COMPUTED_VALUE"""),44844)</f>
        <v>44844</v>
      </c>
      <c r="Q16" s="8">
        <f ca="1">IFERROR(__xludf.DUMMYFUNCTION("""COMPUTED_VALUE"""),45352)</f>
        <v>45352</v>
      </c>
      <c r="R16" s="7" t="str">
        <f ca="1">IFERROR(__xludf.DUMMYFUNCTION("""COMPUTED_VALUE"""),"Terlambat")</f>
        <v>Terlambat</v>
      </c>
      <c r="S16" s="8"/>
      <c r="T16" s="7" t="str">
        <f ca="1">IFERROR(__xludf.DUMMYFUNCTION("""COMPUTED_VALUE"""),"Tidak Menyampaikan Laporan")</f>
        <v>Tidak Menyampaikan Laporan</v>
      </c>
      <c r="U16" s="8">
        <f ca="1">IFERROR(__xludf.DUMMYFUNCTION("""COMPUTED_VALUE"""),45728)</f>
        <v>45728</v>
      </c>
      <c r="V16" s="7"/>
      <c r="W16" s="7"/>
      <c r="X16" s="7"/>
      <c r="Y16" s="7"/>
      <c r="Z16" s="7"/>
      <c r="AA16" s="7" t="str">
        <f ca="1">IFERROR(__xludf.DUMMYFUNCTION("""COMPUTED_VALUE"""),"SP1")</f>
        <v>SP1</v>
      </c>
      <c r="AB16" s="9" t="str">
        <f ca="1">IFERROR(__xludf.DUMMYFUNCTION("""COMPUTED_VALUE"""),"LAPORAN 1 TERLAMBAT; TIDAK MENYAMPAIKAN LAPORAN 2")</f>
        <v>LAPORAN 1 TERLAMBAT; TIDAK MENYAMPAIKAN LAPORAN 2</v>
      </c>
      <c r="AC16" s="9"/>
      <c r="AD16" s="9"/>
      <c r="AE16" s="11"/>
      <c r="AF16" s="7" t="str">
        <f ca="1">IFERROR(__xludf.DUMMYFUNCTION("""COMPUTED_VALUE"""),"BITUNG")</f>
        <v>BITUNG</v>
      </c>
      <c r="AG16" s="8"/>
      <c r="AH16" s="7"/>
      <c r="AI16" s="7"/>
      <c r="AJ16" s="7"/>
      <c r="AK16" s="6"/>
      <c r="AL16" s="6"/>
      <c r="AM16" s="6"/>
      <c r="AN16" s="6"/>
      <c r="AO16" s="6"/>
    </row>
    <row r="17" spans="1:41" ht="75.5" x14ac:dyDescent="0.3">
      <c r="A17" s="7">
        <f ca="1">IFERROR(__xludf.DUMMYFUNCTION("""COMPUTED_VALUE"""),471)</f>
        <v>471</v>
      </c>
      <c r="B17" s="7" t="str">
        <f ca="1">IFERROR(__xludf.DUMMYFUNCTION("""COMPUTED_VALUE"""),"22.13.00276")</f>
        <v>22.13.00276</v>
      </c>
      <c r="C17" s="7" t="str">
        <f ca="1">IFERROR(__xludf.DUMMYFUNCTION("""COMPUTED_VALUE"""),"PT CERIA NUGRAHA INDOTAMA")</f>
        <v>PT CERIA NUGRAHA INDOTAMA</v>
      </c>
      <c r="D17" s="7" t="str">
        <f ca="1">IFERROR(__xludf.DUMMYFUNCTION("""COMPUTED_VALUE"""),"02122769323 / Ceria@cerindocorp.com")</f>
        <v>02122769323 / Ceria@cerindocorp.com</v>
      </c>
      <c r="E17" s="7" t="str">
        <f ca="1">IFERROR(__xludf.DUMMYFUNCTION("""COMPUTED_VALUE"""),"JL. KIMA 12 KAV N-1A KAWASAN INDUSTRI MAKASSAR, KELURAHAN DAYA, KECAMATAN BIRINGKANAYA, KOTA MAKASSAR, PROVINSI SULAWESI SELATAN")</f>
        <v>JL. KIMA 12 KAV N-1A KAWASAN INDUSTRI MAKASSAR, KELURAHAN DAYA, KECAMATAN BIRINGKANAYA, KOTA MAKASSAR, PROVINSI SULAWESI SELATAN</v>
      </c>
      <c r="F17" s="7" t="str">
        <f ca="1">IFERROR(__xludf.DUMMYFUNCTION("""COMPUTED_VALUE"""),"PERSETUJUAN")</f>
        <v>PERSETUJUAN</v>
      </c>
      <c r="G17" s="7" t="str">
        <f ca="1">IFERROR(__xludf.DUMMYFUNCTION("""COMPUTED_VALUE"""),"BERUSAHA")</f>
        <v>BERUSAHA</v>
      </c>
      <c r="H17" s="7" t="str">
        <f ca="1">IFERROR(__xludf.DUMMYFUNCTION("""COMPUTED_VALUE"""),"SULAWESI TENGGARA")</f>
        <v>SULAWESI TENGGARA</v>
      </c>
      <c r="I17" s="7" t="str">
        <f ca="1">IFERROR(__xludf.DUMMYFUNCTION("""COMPUTED_VALUE"""),"TELUK BONE")</f>
        <v>TELUK BONE</v>
      </c>
      <c r="J17" s="7" t="str">
        <f ca="1">IFERROR(__xludf.DUMMYFUNCTION("""COMPUTED_VALUE"""),"PENGEMBANGAN TERMINAL KHUSUS")</f>
        <v>PENGEMBANGAN TERMINAL KHUSUS</v>
      </c>
      <c r="K17" s="7">
        <f ca="1">IFERROR(__xludf.DUMMYFUNCTION("""COMPUTED_VALUE"""),49.61)</f>
        <v>49.61</v>
      </c>
      <c r="L17" s="7" t="str">
        <f ca="1">IFERROR(__xludf.DUMMYFUNCTION("""COMPUTED_VALUE"""),"ha")</f>
        <v>ha</v>
      </c>
      <c r="M17" s="7"/>
      <c r="N17" s="7"/>
      <c r="O17" s="7" t="str">
        <f ca="1">IFERROR(__xludf.DUMMYFUNCTION("""COMPUTED_VALUE"""),"11102210517400008")</f>
        <v>11102210517400008</v>
      </c>
      <c r="P17" s="8">
        <f ca="1">IFERROR(__xludf.DUMMYFUNCTION("""COMPUTED_VALUE"""),44845)</f>
        <v>44845</v>
      </c>
      <c r="Q17" s="8">
        <f ca="1">IFERROR(__xludf.DUMMYFUNCTION("""COMPUTED_VALUE"""),45386)</f>
        <v>45386</v>
      </c>
      <c r="R17" s="7" t="str">
        <f ca="1">IFERROR(__xludf.DUMMYFUNCTION("""COMPUTED_VALUE"""),"Terlambat")</f>
        <v>Terlambat</v>
      </c>
      <c r="S17" s="7"/>
      <c r="T17" s="7" t="str">
        <f ca="1">IFERROR(__xludf.DUMMYFUNCTION("""COMPUTED_VALUE"""),"Tidak Menyampaikan Laporan")</f>
        <v>Tidak Menyampaikan Laporan</v>
      </c>
      <c r="U17" s="7"/>
      <c r="V17" s="7"/>
      <c r="W17" s="7"/>
      <c r="X17" s="7"/>
      <c r="Y17" s="7"/>
      <c r="Z17" s="7"/>
      <c r="AA17" s="7" t="str">
        <f ca="1">IFERROR(__xludf.DUMMYFUNCTION("""COMPUTED_VALUE"""),"SP1")</f>
        <v>SP1</v>
      </c>
      <c r="AB17" s="9" t="str">
        <f ca="1">IFERROR(__xludf.DUMMYFUNCTION("""COMPUTED_VALUE"""),"LAPORAN 1 TERLAMBAT; TIDAK MENYAMPAIKAN LAPORAN 2")</f>
        <v>LAPORAN 1 TERLAMBAT; TIDAK MENYAMPAIKAN LAPORAN 2</v>
      </c>
      <c r="AC17" s="9"/>
      <c r="AD17" s="9"/>
      <c r="AE17" s="11"/>
      <c r="AF17" s="7" t="str">
        <f ca="1">IFERROR(__xludf.DUMMYFUNCTION("""COMPUTED_VALUE"""),"BITUNG")</f>
        <v>BITUNG</v>
      </c>
      <c r="AG17" s="8"/>
      <c r="AH17" s="7"/>
      <c r="AI17" s="7"/>
      <c r="AJ17" s="7"/>
      <c r="AK17" s="6"/>
      <c r="AL17" s="6"/>
      <c r="AM17" s="6"/>
      <c r="AN17" s="6"/>
      <c r="AO17" s="6"/>
    </row>
    <row r="18" spans="1:41" ht="75.5" x14ac:dyDescent="0.3">
      <c r="A18" s="7">
        <f ca="1">IFERROR(__xludf.DUMMYFUNCTION("""COMPUTED_VALUE"""),474)</f>
        <v>474</v>
      </c>
      <c r="B18" s="7" t="str">
        <f ca="1">IFERROR(__xludf.DUMMYFUNCTION("""COMPUTED_VALUE"""),"22.13.00279")</f>
        <v>22.13.00279</v>
      </c>
      <c r="C18" s="7" t="str">
        <f ca="1">IFERROR(__xludf.DUMMYFUNCTION("""COMPUTED_VALUE"""),"PT CERIA NUGRAHA INDOTAMA")</f>
        <v>PT CERIA NUGRAHA INDOTAMA</v>
      </c>
      <c r="D18" s="7" t="str">
        <f ca="1">IFERROR(__xludf.DUMMYFUNCTION("""COMPUTED_VALUE"""),"02122769323 / Ceria@cerindocorp.com")</f>
        <v>02122769323 / Ceria@cerindocorp.com</v>
      </c>
      <c r="E18" s="7" t="str">
        <f ca="1">IFERROR(__xludf.DUMMYFUNCTION("""COMPUTED_VALUE"""),"JL. KIMA 12 KAV N-1A KAWASAN INDUSTRI MAKASSAR, KELURAHAN DAYA, KECAMATAN BIRINGKANAYA, KOTA MAKASSAR, PROVINSI SULAWESI SELATAN")</f>
        <v>JL. KIMA 12 KAV N-1A KAWASAN INDUSTRI MAKASSAR, KELURAHAN DAYA, KECAMATAN BIRINGKANAYA, KOTA MAKASSAR, PROVINSI SULAWESI SELATAN</v>
      </c>
      <c r="F18" s="7" t="str">
        <f ca="1">IFERROR(__xludf.DUMMYFUNCTION("""COMPUTED_VALUE"""),"PERSETUJUAN")</f>
        <v>PERSETUJUAN</v>
      </c>
      <c r="G18" s="7" t="str">
        <f ca="1">IFERROR(__xludf.DUMMYFUNCTION("""COMPUTED_VALUE"""),"BERUSAHA")</f>
        <v>BERUSAHA</v>
      </c>
      <c r="H18" s="7" t="str">
        <f ca="1">IFERROR(__xludf.DUMMYFUNCTION("""COMPUTED_VALUE"""),"SULAWESI TENGGARA")</f>
        <v>SULAWESI TENGGARA</v>
      </c>
      <c r="I18" s="7" t="str">
        <f ca="1">IFERROR(__xludf.DUMMYFUNCTION("""COMPUTED_VALUE"""),"TELUK BONE")</f>
        <v>TELUK BONE</v>
      </c>
      <c r="J18" s="7" t="str">
        <f ca="1">IFERROR(__xludf.DUMMYFUNCTION("""COMPUTED_VALUE"""),"PENGEMBANGAN TERMINAL KHUSUS")</f>
        <v>PENGEMBANGAN TERMINAL KHUSUS</v>
      </c>
      <c r="K18" s="7">
        <f ca="1">IFERROR(__xludf.DUMMYFUNCTION("""COMPUTED_VALUE"""),7.66)</f>
        <v>7.66</v>
      </c>
      <c r="L18" s="7" t="str">
        <f ca="1">IFERROR(__xludf.DUMMYFUNCTION("""COMPUTED_VALUE"""),"ha")</f>
        <v>ha</v>
      </c>
      <c r="M18" s="7"/>
      <c r="N18" s="7"/>
      <c r="O18" s="7" t="str">
        <f ca="1">IFERROR(__xludf.DUMMYFUNCTION("""COMPUTED_VALUE"""),"11102210517400007")</f>
        <v>11102210517400007</v>
      </c>
      <c r="P18" s="8">
        <f ca="1">IFERROR(__xludf.DUMMYFUNCTION("""COMPUTED_VALUE"""),44845)</f>
        <v>44845</v>
      </c>
      <c r="Q18" s="8">
        <f ca="1">IFERROR(__xludf.DUMMYFUNCTION("""COMPUTED_VALUE"""),45386)</f>
        <v>45386</v>
      </c>
      <c r="R18" s="7" t="str">
        <f ca="1">IFERROR(__xludf.DUMMYFUNCTION("""COMPUTED_VALUE"""),"Terlambat")</f>
        <v>Terlambat</v>
      </c>
      <c r="S18" s="8"/>
      <c r="T18" s="7" t="str">
        <f ca="1">IFERROR(__xludf.DUMMYFUNCTION("""COMPUTED_VALUE"""),"Tidak Menyampaikan Laporan")</f>
        <v>Tidak Menyampaikan Laporan</v>
      </c>
      <c r="U18" s="7"/>
      <c r="V18" s="7"/>
      <c r="W18" s="7"/>
      <c r="X18" s="7"/>
      <c r="Y18" s="7"/>
      <c r="Z18" s="7"/>
      <c r="AA18" s="7" t="str">
        <f ca="1">IFERROR(__xludf.DUMMYFUNCTION("""COMPUTED_VALUE"""),"SP1")</f>
        <v>SP1</v>
      </c>
      <c r="AB18" s="9" t="str">
        <f ca="1">IFERROR(__xludf.DUMMYFUNCTION("""COMPUTED_VALUE"""),"LAPORAN 1 TERLAMBAT; TIDAK MENYAMPAIKAN LAPORAN 2")</f>
        <v>LAPORAN 1 TERLAMBAT; TIDAK MENYAMPAIKAN LAPORAN 2</v>
      </c>
      <c r="AC18" s="9"/>
      <c r="AD18" s="9"/>
      <c r="AE18" s="11"/>
      <c r="AF18" s="7" t="str">
        <f ca="1">IFERROR(__xludf.DUMMYFUNCTION("""COMPUTED_VALUE"""),"BITUNG")</f>
        <v>BITUNG</v>
      </c>
      <c r="AG18" s="8"/>
      <c r="AH18" s="7"/>
      <c r="AI18" s="7"/>
      <c r="AJ18" s="7"/>
      <c r="AK18" s="6"/>
      <c r="AL18" s="6"/>
      <c r="AM18" s="6"/>
      <c r="AN18" s="6"/>
      <c r="AO18" s="6"/>
    </row>
    <row r="19" spans="1:41" ht="88" x14ac:dyDescent="0.3">
      <c r="A19" s="7">
        <f ca="1">IFERROR(__xludf.DUMMYFUNCTION("""COMPUTED_VALUE"""),478)</f>
        <v>478</v>
      </c>
      <c r="B19" s="7" t="str">
        <f ca="1">IFERROR(__xludf.DUMMYFUNCTION("""COMPUTED_VALUE"""),"22.13.00275")</f>
        <v>22.13.00275</v>
      </c>
      <c r="C19" s="7" t="str">
        <f ca="1">IFERROR(__xludf.DUMMYFUNCTION("""COMPUTED_VALUE"""),"PT LAUTAN INTERNATIONAL JAYA")</f>
        <v>PT LAUTAN INTERNATIONAL JAYA</v>
      </c>
      <c r="D19" s="7" t="str">
        <f ca="1">IFERROR(__xludf.DUMMYFUNCTION("""COMPUTED_VALUE"""),"082240639812 / ptlautaninternationaljaya@gmail.com")</f>
        <v>082240639812 / ptlautaninternationaljaya@gmail.com</v>
      </c>
      <c r="E19" s="7" t="str">
        <f ca="1">IFERROR(__xludf.DUMMYFUNCTION("""COMPUTED_VALUE"""),"JL. TRANS LUWUK BALANTAK, DUSUN BOLO, , KABUPATEN BANGGAI, PROVINSI SULAWESI TENGAH")</f>
        <v>JL. TRANS LUWUK BALANTAK, DUSUN BOLO, , KABUPATEN BANGGAI, PROVINSI SULAWESI TENGAH</v>
      </c>
      <c r="F19" s="7" t="str">
        <f ca="1">IFERROR(__xludf.DUMMYFUNCTION("""COMPUTED_VALUE"""),"PERSETUJUAN")</f>
        <v>PERSETUJUAN</v>
      </c>
      <c r="G19" s="7" t="str">
        <f ca="1">IFERROR(__xludf.DUMMYFUNCTION("""COMPUTED_VALUE"""),"BERUSAHA")</f>
        <v>BERUSAHA</v>
      </c>
      <c r="H19" s="7" t="str">
        <f ca="1">IFERROR(__xludf.DUMMYFUNCTION("""COMPUTED_VALUE"""),"SULAWESI TENGAH")</f>
        <v>SULAWESI TENGAH</v>
      </c>
      <c r="I19" s="7" t="str">
        <f ca="1">IFERROR(__xludf.DUMMYFUNCTION("""COMPUTED_VALUE"""),"SELAT PELING")</f>
        <v>SELAT PELING</v>
      </c>
      <c r="J19" s="7" t="str">
        <f ca="1">IFERROR(__xludf.DUMMYFUNCTION("""COMPUTED_VALUE"""),"INSTALASI PERIKANAN")</f>
        <v>INSTALASI PERIKANAN</v>
      </c>
      <c r="K19" s="7">
        <f ca="1">IFERROR(__xludf.DUMMYFUNCTION("""COMPUTED_VALUE"""),0.54)</f>
        <v>0.54</v>
      </c>
      <c r="L19" s="7" t="str">
        <f ca="1">IFERROR(__xludf.DUMMYFUNCTION("""COMPUTED_VALUE"""),"ha")</f>
        <v>ha</v>
      </c>
      <c r="M19" s="7"/>
      <c r="N19" s="7"/>
      <c r="O19" s="7" t="str">
        <f ca="1">IFERROR(__xludf.DUMMYFUNCTION("""COMPUTED_VALUE"""),"12102210517200003")</f>
        <v>12102210517200003</v>
      </c>
      <c r="P19" s="8">
        <f ca="1">IFERROR(__xludf.DUMMYFUNCTION("""COMPUTED_VALUE"""),44846)</f>
        <v>44846</v>
      </c>
      <c r="Q19" s="7"/>
      <c r="R19" s="7" t="str">
        <f ca="1">IFERROR(__xludf.DUMMYFUNCTION("""COMPUTED_VALUE"""),"Tidak Menyampaikan Laporan")</f>
        <v>Tidak Menyampaikan Laporan</v>
      </c>
      <c r="S19" s="7"/>
      <c r="T19" s="7" t="str">
        <f ca="1">IFERROR(__xludf.DUMMYFUNCTION("""COMPUTED_VALUE"""),"Tidak Menyampaikan Laporan")</f>
        <v>Tidak Menyampaikan Laporan</v>
      </c>
      <c r="U19" s="7"/>
      <c r="V19" s="7"/>
      <c r="W19" s="7"/>
      <c r="X19" s="7"/>
      <c r="Y19" s="7"/>
      <c r="Z19" s="7"/>
      <c r="AA19" s="7" t="str">
        <f ca="1">IFERROR(__xludf.DUMMYFUNCTION("""COMPUTED_VALUE"""),"SP1")</f>
        <v>SP1</v>
      </c>
      <c r="AB19" s="9" t="str">
        <f ca="1">IFERROR(__xludf.DUMMYFUNCTION("""COMPUTED_VALUE"""),"TIDAK MENYAMPAIKAN LAPORAN 1; TIDAK MENYAMPAIKAN LAPORAN 2")</f>
        <v>TIDAK MENYAMPAIKAN LAPORAN 1; TIDAK MENYAMPAIKAN LAPORAN 2</v>
      </c>
      <c r="AC19" s="9"/>
      <c r="AD19" s="9"/>
      <c r="AE19" s="9"/>
      <c r="AF19" s="7" t="str">
        <f ca="1">IFERROR(__xludf.DUMMYFUNCTION("""COMPUTED_VALUE"""),"BITUNG")</f>
        <v>BITUNG</v>
      </c>
      <c r="AG19" s="7"/>
      <c r="AH19" s="7"/>
      <c r="AI19" s="7"/>
      <c r="AJ19" s="7"/>
      <c r="AK19" s="6"/>
      <c r="AL19" s="6"/>
      <c r="AM19" s="6"/>
      <c r="AN19" s="6"/>
      <c r="AO19" s="6"/>
    </row>
    <row r="20" spans="1:41" ht="75.5" x14ac:dyDescent="0.3">
      <c r="A20" s="7">
        <f ca="1">IFERROR(__xludf.DUMMYFUNCTION("""COMPUTED_VALUE"""),485)</f>
        <v>485</v>
      </c>
      <c r="B20" s="7" t="str">
        <f ca="1">IFERROR(__xludf.DUMMYFUNCTION("""COMPUTED_VALUE"""),"22.13.00285")</f>
        <v>22.13.00285</v>
      </c>
      <c r="C20" s="7" t="str">
        <f ca="1">IFERROR(__xludf.DUMMYFUNCTION("""COMPUTED_VALUE"""),"PT KONAWE NIKEL NUSANTARA")</f>
        <v>PT KONAWE NIKEL NUSANTARA</v>
      </c>
      <c r="D20" s="7" t="str">
        <f ca="1">IFERROR(__xludf.DUMMYFUNCTION("""COMPUTED_VALUE"""),"")</f>
        <v/>
      </c>
      <c r="E20" s="7" t="str">
        <f ca="1">IFERROR(__xludf.DUMMYFUNCTION("""COMPUTED_VALUE"""),"JL. BALAI KOTA I PERUM DOLOG NO. 2, KELURAHAN MANDONGA, KECAMATAN MANDONGA, KOTA KENDARI, PROVINSI SULAWESI TENGGARA")</f>
        <v>JL. BALAI KOTA I PERUM DOLOG NO. 2, KELURAHAN MANDONGA, KECAMATAN MANDONGA, KOTA KENDARI, PROVINSI SULAWESI TENGGARA</v>
      </c>
      <c r="F20" s="7" t="str">
        <f ca="1">IFERROR(__xludf.DUMMYFUNCTION("""COMPUTED_VALUE"""),"PERSETUJUAN")</f>
        <v>PERSETUJUAN</v>
      </c>
      <c r="G20" s="7" t="str">
        <f ca="1">IFERROR(__xludf.DUMMYFUNCTION("""COMPUTED_VALUE"""),"BERUSAHA")</f>
        <v>BERUSAHA</v>
      </c>
      <c r="H20" s="7" t="str">
        <f ca="1">IFERROR(__xludf.DUMMYFUNCTION("""COMPUTED_VALUE"""),"SULAWESI TENGGARA")</f>
        <v>SULAWESI TENGGARA</v>
      </c>
      <c r="I20" s="7" t="str">
        <f ca="1">IFERROR(__xludf.DUMMYFUNCTION("""COMPUTED_VALUE"""),"TELUK DALAM")</f>
        <v>TELUK DALAM</v>
      </c>
      <c r="J20" s="7" t="str">
        <f ca="1">IFERROR(__xludf.DUMMYFUNCTION("""COMPUTED_VALUE"""),"PEMBANGUNAN TERMINAL KHUSUS")</f>
        <v>PEMBANGUNAN TERMINAL KHUSUS</v>
      </c>
      <c r="K20" s="7">
        <f ca="1">IFERROR(__xludf.DUMMYFUNCTION("""COMPUTED_VALUE"""),14.5)</f>
        <v>14.5</v>
      </c>
      <c r="L20" s="7" t="str">
        <f ca="1">IFERROR(__xludf.DUMMYFUNCTION("""COMPUTED_VALUE"""),"ha")</f>
        <v>ha</v>
      </c>
      <c r="M20" s="7"/>
      <c r="N20" s="7"/>
      <c r="O20" s="7" t="str">
        <f ca="1">IFERROR(__xludf.DUMMYFUNCTION("""COMPUTED_VALUE"""),"17102210517400009")</f>
        <v>17102210517400009</v>
      </c>
      <c r="P20" s="8">
        <f ca="1">IFERROR(__xludf.DUMMYFUNCTION("""COMPUTED_VALUE"""),44851)</f>
        <v>44851</v>
      </c>
      <c r="Q20" s="8">
        <f ca="1">IFERROR(__xludf.DUMMYFUNCTION("""COMPUTED_VALUE"""),45384)</f>
        <v>45384</v>
      </c>
      <c r="R20" s="7" t="str">
        <f ca="1">IFERROR(__xludf.DUMMYFUNCTION("""COMPUTED_VALUE"""),"Terlambat")</f>
        <v>Terlambat</v>
      </c>
      <c r="S20" s="8"/>
      <c r="T20" s="7" t="str">
        <f ca="1">IFERROR(__xludf.DUMMYFUNCTION("""COMPUTED_VALUE"""),"Tidak Menyampaikan Laporan")</f>
        <v>Tidak Menyampaikan Laporan</v>
      </c>
      <c r="U20" s="7"/>
      <c r="V20" s="7"/>
      <c r="W20" s="7"/>
      <c r="X20" s="7"/>
      <c r="Y20" s="7"/>
      <c r="Z20" s="7"/>
      <c r="AA20" s="7" t="str">
        <f ca="1">IFERROR(__xludf.DUMMYFUNCTION("""COMPUTED_VALUE"""),"SP1")</f>
        <v>SP1</v>
      </c>
      <c r="AB20" s="9" t="str">
        <f ca="1">IFERROR(__xludf.DUMMYFUNCTION("""COMPUTED_VALUE"""),"LAPORAN 1 TERLAMBAT; TIDAK MENYAMPAIKAN LAPORAN 2")</f>
        <v>LAPORAN 1 TERLAMBAT; TIDAK MENYAMPAIKAN LAPORAN 2</v>
      </c>
      <c r="AC20" s="9"/>
      <c r="AD20" s="9"/>
      <c r="AE20" s="11"/>
      <c r="AF20" s="7" t="str">
        <f ca="1">IFERROR(__xludf.DUMMYFUNCTION("""COMPUTED_VALUE"""),"BITUNG")</f>
        <v>BITUNG</v>
      </c>
      <c r="AG20" s="7" t="str">
        <f ca="1">IFERROR(__xludf.DUMMYFUNCTION("""COMPUTED_VALUE"""),"SP2")</f>
        <v>SP2</v>
      </c>
      <c r="AH20" s="7"/>
      <c r="AI20" s="7"/>
      <c r="AJ20" s="7"/>
      <c r="AK20" s="6"/>
      <c r="AL20" s="6"/>
      <c r="AM20" s="6"/>
      <c r="AN20" s="6"/>
      <c r="AO20" s="6"/>
    </row>
    <row r="21" spans="1:41" ht="88" x14ac:dyDescent="0.3">
      <c r="A21" s="7">
        <f ca="1">IFERROR(__xludf.DUMMYFUNCTION("""COMPUTED_VALUE"""),506)</f>
        <v>506</v>
      </c>
      <c r="B21" s="7" t="str">
        <f ca="1">IFERROR(__xludf.DUMMYFUNCTION("""COMPUTED_VALUE"""),"22.13.00305")</f>
        <v>22.13.00305</v>
      </c>
      <c r="C21" s="7" t="str">
        <f ca="1">IFERROR(__xludf.DUMMYFUNCTION("""COMPUTED_VALUE"""),"PT RIZQI BIOKAS PRATAMA")</f>
        <v>PT RIZQI BIOKAS PRATAMA</v>
      </c>
      <c r="D21" s="7" t="str">
        <f ca="1">IFERROR(__xludf.DUMMYFUNCTION("""COMPUTED_VALUE"""),"08115118379 / rizqibiokaspratama@gmail.com")</f>
        <v>08115118379 / rizqibiokaspratama@gmail.com</v>
      </c>
      <c r="E21" s="7" t="str">
        <f ca="1">IFERROR(__xludf.DUMMYFUNCTION("""COMPUTED_VALUE"""),"PERUMAHAN CITRALAND, GREEN LEAF CLUSTER, BLOK E 01/026 A, JL. MALAKA, KELURAHAN ANDONOHU, KECAMATAN POASIA, KOTA KENDARI, PROVINSI SULAWESI TENGGARA")</f>
        <v>PERUMAHAN CITRALAND, GREEN LEAF CLUSTER, BLOK E 01/026 A, JL. MALAKA, KELURAHAN ANDONOHU, KECAMATAN POASIA, KOTA KENDARI, PROVINSI SULAWESI TENGGARA</v>
      </c>
      <c r="F21" s="7" t="str">
        <f ca="1">IFERROR(__xludf.DUMMYFUNCTION("""COMPUTED_VALUE"""),"PERSETUJUAN")</f>
        <v>PERSETUJUAN</v>
      </c>
      <c r="G21" s="7" t="str">
        <f ca="1">IFERROR(__xludf.DUMMYFUNCTION("""COMPUTED_VALUE"""),"BERUSAHA")</f>
        <v>BERUSAHA</v>
      </c>
      <c r="H21" s="7" t="str">
        <f ca="1">IFERROR(__xludf.DUMMYFUNCTION("""COMPUTED_VALUE"""),"SULAWESI TENGGARA")</f>
        <v>SULAWESI TENGGARA</v>
      </c>
      <c r="I21" s="7" t="str">
        <f ca="1">IFERROR(__xludf.DUMMYFUNCTION("""COMPUTED_VALUE"""),"LAUT BANDA")</f>
        <v>LAUT BANDA</v>
      </c>
      <c r="J21" s="7" t="str">
        <f ca="1">IFERROR(__xludf.DUMMYFUNCTION("""COMPUTED_VALUE"""),"PENGEMBANGAN TERMINAL KHUSUS")</f>
        <v>PENGEMBANGAN TERMINAL KHUSUS</v>
      </c>
      <c r="K21" s="7">
        <f ca="1">IFERROR(__xludf.DUMMYFUNCTION("""COMPUTED_VALUE"""),9.7)</f>
        <v>9.6999999999999993</v>
      </c>
      <c r="L21" s="7" t="str">
        <f ca="1">IFERROR(__xludf.DUMMYFUNCTION("""COMPUTED_VALUE"""),"ha")</f>
        <v>ha</v>
      </c>
      <c r="M21" s="7"/>
      <c r="N21" s="7"/>
      <c r="O21" s="7" t="str">
        <f ca="1">IFERROR(__xludf.DUMMYFUNCTION("""COMPUTED_VALUE"""),"21112210517400001")</f>
        <v>21112210517400001</v>
      </c>
      <c r="P21" s="8">
        <f ca="1">IFERROR(__xludf.DUMMYFUNCTION("""COMPUTED_VALUE"""),44886)</f>
        <v>44886</v>
      </c>
      <c r="Q21" s="7"/>
      <c r="R21" s="7" t="str">
        <f ca="1">IFERROR(__xludf.DUMMYFUNCTION("""COMPUTED_VALUE"""),"Tidak Menyampaikan Laporan")</f>
        <v>Tidak Menyampaikan Laporan</v>
      </c>
      <c r="S21" s="8"/>
      <c r="T21" s="7" t="str">
        <f ca="1">IFERROR(__xludf.DUMMYFUNCTION("""COMPUTED_VALUE"""),"Tidak Menyampaikan Laporan")</f>
        <v>Tidak Menyampaikan Laporan</v>
      </c>
      <c r="U21" s="7"/>
      <c r="V21" s="7"/>
      <c r="W21" s="7"/>
      <c r="X21" s="7"/>
      <c r="Y21" s="7"/>
      <c r="Z21" s="7"/>
      <c r="AA21" s="7" t="str">
        <f ca="1">IFERROR(__xludf.DUMMYFUNCTION("""COMPUTED_VALUE"""),"SP1")</f>
        <v>SP1</v>
      </c>
      <c r="AB21" s="9" t="str">
        <f ca="1">IFERROR(__xludf.DUMMYFUNCTION("""COMPUTED_VALUE"""),"TIDAK MENYAMPAIKAN LAPORAN 1; TIDAK MENYAMPAIKAN LAPORAN 2")</f>
        <v>TIDAK MENYAMPAIKAN LAPORAN 1; TIDAK MENYAMPAIKAN LAPORAN 2</v>
      </c>
      <c r="AC21" s="9"/>
      <c r="AD21" s="9"/>
      <c r="AE21" s="9"/>
      <c r="AF21" s="7" t="str">
        <f ca="1">IFERROR(__xludf.DUMMYFUNCTION("""COMPUTED_VALUE"""),"BITUNG")</f>
        <v>BITUNG</v>
      </c>
      <c r="AG21" s="7"/>
      <c r="AH21" s="7"/>
      <c r="AI21" s="7"/>
      <c r="AJ21" s="7"/>
      <c r="AK21" s="6"/>
      <c r="AL21" s="6"/>
      <c r="AM21" s="6"/>
      <c r="AN21" s="6"/>
      <c r="AO21" s="6"/>
    </row>
    <row r="22" spans="1:41" ht="25.5" x14ac:dyDescent="0.3">
      <c r="A22" s="7">
        <f ca="1">IFERROR(__xludf.DUMMYFUNCTION("""COMPUTED_VALUE"""),510)</f>
        <v>510</v>
      </c>
      <c r="B22" s="7" t="str">
        <f ca="1">IFERROR(__xludf.DUMMYFUNCTION("""COMPUTED_VALUE"""),"22.13.00306")</f>
        <v>22.13.00306</v>
      </c>
      <c r="C22" s="7" t="str">
        <f ca="1">IFERROR(__xludf.DUMMYFUNCTION("""COMPUTED_VALUE"""),"CV LESTARI AQUATIKA")</f>
        <v>CV LESTARI AQUATIKA</v>
      </c>
      <c r="D22" s="7" t="str">
        <f ca="1">IFERROR(__xludf.DUMMYFUNCTION("""COMPUTED_VALUE"""),"")</f>
        <v/>
      </c>
      <c r="E22" s="7" t="str">
        <f ca="1">IFERROR(__xludf.DUMMYFUNCTION("""COMPUTED_VALUE"""),"JL. POROS MORAMO, KELURAHAN TONDONGGEU, KECAMATAN NAMBO, KOTA KENDARI, PROVINSI SULAWESI TENGGARA")</f>
        <v>JL. POROS MORAMO, KELURAHAN TONDONGGEU, KECAMATAN NAMBO, KOTA KENDARI, PROVINSI SULAWESI TENGGARA</v>
      </c>
      <c r="F22" s="7" t="str">
        <f ca="1">IFERROR(__xludf.DUMMYFUNCTION("""COMPUTED_VALUE"""),"PERSETUJUAN")</f>
        <v>PERSETUJUAN</v>
      </c>
      <c r="G22" s="7" t="str">
        <f ca="1">IFERROR(__xludf.DUMMYFUNCTION("""COMPUTED_VALUE"""),"BERUSAHA")</f>
        <v>BERUSAHA</v>
      </c>
      <c r="H22" s="7" t="str">
        <f ca="1">IFERROR(__xludf.DUMMYFUNCTION("""COMPUTED_VALUE"""),"SULAWESI TENGGARA")</f>
        <v>SULAWESI TENGGARA</v>
      </c>
      <c r="I22" s="7" t="str">
        <f ca="1">IFERROR(__xludf.DUMMYFUNCTION("""COMPUTED_VALUE"""),"TELUK KENDARI")</f>
        <v>TELUK KENDARI</v>
      </c>
      <c r="J22" s="7" t="str">
        <f ca="1">IFERROR(__xludf.DUMMYFUNCTION("""COMPUTED_VALUE"""),"BUDIDAYA KARANG HIAS")</f>
        <v>BUDIDAYA KARANG HIAS</v>
      </c>
      <c r="K22" s="7">
        <f ca="1">IFERROR(__xludf.DUMMYFUNCTION("""COMPUTED_VALUE"""),0.4)</f>
        <v>0.4</v>
      </c>
      <c r="L22" s="7" t="str">
        <f ca="1">IFERROR(__xludf.DUMMYFUNCTION("""COMPUTED_VALUE"""),"ha")</f>
        <v>ha</v>
      </c>
      <c r="M22" s="7"/>
      <c r="N22" s="7"/>
      <c r="O22" s="7" t="str">
        <f ca="1">IFERROR(__xludf.DUMMYFUNCTION("""COMPUTED_VALUE"""),"22112210517400001")</f>
        <v>22112210517400001</v>
      </c>
      <c r="P22" s="8">
        <f ca="1">IFERROR(__xludf.DUMMYFUNCTION("""COMPUTED_VALUE"""),44887)</f>
        <v>44887</v>
      </c>
      <c r="Q22" s="8">
        <f ca="1">IFERROR(__xludf.DUMMYFUNCTION("""COMPUTED_VALUE"""),45611)</f>
        <v>45611</v>
      </c>
      <c r="R22" s="7" t="str">
        <f ca="1">IFERROR(__xludf.DUMMYFUNCTION("""COMPUTED_VALUE"""),"Terlambat")</f>
        <v>Terlambat</v>
      </c>
      <c r="S22" s="8">
        <f ca="1">IFERROR(__xludf.DUMMYFUNCTION("""COMPUTED_VALUE"""),45602)</f>
        <v>45602</v>
      </c>
      <c r="T22" s="7" t="str">
        <f ca="1">IFERROR(__xludf.DUMMYFUNCTION("""COMPUTED_VALUE"""),"Tepat Waktu")</f>
        <v>Tepat Waktu</v>
      </c>
      <c r="U22" s="7"/>
      <c r="V22" s="7"/>
      <c r="W22" s="7"/>
      <c r="X22" s="7"/>
      <c r="Y22" s="7"/>
      <c r="Z22" s="7"/>
      <c r="AA22" s="7" t="str">
        <f ca="1">IFERROR(__xludf.DUMMYFUNCTION("""COMPUTED_VALUE"""),"SP1")</f>
        <v>SP1</v>
      </c>
      <c r="AB22" s="9" t="str">
        <f ca="1">IFERROR(__xludf.DUMMYFUNCTION("""COMPUTED_VALUE"""),"LAPORAN 1 TERLAMBAT")</f>
        <v>LAPORAN 1 TERLAMBAT</v>
      </c>
      <c r="AC22" s="9"/>
      <c r="AD22" s="9"/>
      <c r="AE22" s="9"/>
      <c r="AF22" s="7" t="str">
        <f ca="1">IFERROR(__xludf.DUMMYFUNCTION("""COMPUTED_VALUE"""),"BITUNG")</f>
        <v>BITUNG</v>
      </c>
      <c r="AG22" s="7"/>
      <c r="AH22" s="7"/>
      <c r="AI22" s="7"/>
      <c r="AJ22" s="7"/>
      <c r="AK22" s="6"/>
      <c r="AL22" s="6"/>
      <c r="AM22" s="6"/>
      <c r="AN22" s="6"/>
      <c r="AO22" s="6"/>
    </row>
    <row r="23" spans="1:41" ht="88" x14ac:dyDescent="0.3">
      <c r="A23" s="7">
        <f ca="1">IFERROR(__xludf.DUMMYFUNCTION("""COMPUTED_VALUE"""),519)</f>
        <v>519</v>
      </c>
      <c r="B23" s="7" t="str">
        <f ca="1">IFERROR(__xludf.DUMMYFUNCTION("""COMPUTED_VALUE"""),"22.13.00319")</f>
        <v>22.13.00319</v>
      </c>
      <c r="C23" s="7" t="str">
        <f ca="1">IFERROR(__xludf.DUMMYFUNCTION("""COMPUTED_VALUE"""),"PT PUTRA INTISULTRA PERKASA")</f>
        <v>PT PUTRA INTISULTRA PERKASA</v>
      </c>
      <c r="D23" s="7" t="str">
        <f ca="1">IFERROR(__xludf.DUMMYFUNCTION("""COMPUTED_VALUE"""),"085351298375 / pt.pip.nikel@gmail.com")</f>
        <v>085351298375 / pt.pip.nikel@gmail.com</v>
      </c>
      <c r="E23" s="7" t="str">
        <f ca="1">IFERROR(__xludf.DUMMYFUNCTION("""COMPUTED_VALUE"""),"JL. DOKTOR SUTOMO, GRIYA RAFAS LALODATI B.10, KELURAHAN LALODATI, KECAMATAN PUUWATU, KOTA KENDARI, PROVINSI SULAWESI TENGGARA")</f>
        <v>JL. DOKTOR SUTOMO, GRIYA RAFAS LALODATI B.10, KELURAHAN LALODATI, KECAMATAN PUUWATU, KOTA KENDARI, PROVINSI SULAWESI TENGGARA</v>
      </c>
      <c r="F23" s="7" t="str">
        <f ca="1">IFERROR(__xludf.DUMMYFUNCTION("""COMPUTED_VALUE"""),"PERSETUJUAN")</f>
        <v>PERSETUJUAN</v>
      </c>
      <c r="G23" s="7" t="str">
        <f ca="1">IFERROR(__xludf.DUMMYFUNCTION("""COMPUTED_VALUE"""),"BERUSAHA")</f>
        <v>BERUSAHA</v>
      </c>
      <c r="H23" s="7" t="str">
        <f ca="1">IFERROR(__xludf.DUMMYFUNCTION("""COMPUTED_VALUE"""),"SULAWESI TENGGARA")</f>
        <v>SULAWESI TENGGARA</v>
      </c>
      <c r="I23" s="7" t="str">
        <f ca="1">IFERROR(__xludf.DUMMYFUNCTION("""COMPUTED_VALUE"""),"TELUK DALAM")</f>
        <v>TELUK DALAM</v>
      </c>
      <c r="J23" s="7" t="str">
        <f ca="1">IFERROR(__xludf.DUMMYFUNCTION("""COMPUTED_VALUE"""),"PEMBANGUNAN TERMINAL KHUSUS")</f>
        <v>PEMBANGUNAN TERMINAL KHUSUS</v>
      </c>
      <c r="K23" s="7">
        <f ca="1">IFERROR(__xludf.DUMMYFUNCTION("""COMPUTED_VALUE"""),17.79)</f>
        <v>17.79</v>
      </c>
      <c r="L23" s="7" t="str">
        <f ca="1">IFERROR(__xludf.DUMMYFUNCTION("""COMPUTED_VALUE"""),"ha")</f>
        <v>ha</v>
      </c>
      <c r="M23" s="7"/>
      <c r="N23" s="7"/>
      <c r="O23" s="7" t="str">
        <f ca="1">IFERROR(__xludf.DUMMYFUNCTION("""COMPUTED_VALUE"""),"24112210517400002")</f>
        <v>24112210517400002</v>
      </c>
      <c r="P23" s="8">
        <f ca="1">IFERROR(__xludf.DUMMYFUNCTION("""COMPUTED_VALUE"""),44889)</f>
        <v>44889</v>
      </c>
      <c r="Q23" s="8"/>
      <c r="R23" s="7" t="str">
        <f ca="1">IFERROR(__xludf.DUMMYFUNCTION("""COMPUTED_VALUE"""),"Tidak Menyampaikan Laporan")</f>
        <v>Tidak Menyampaikan Laporan</v>
      </c>
      <c r="S23" s="8"/>
      <c r="T23" s="7" t="str">
        <f ca="1">IFERROR(__xludf.DUMMYFUNCTION("""COMPUTED_VALUE"""),"Tidak Menyampaikan Laporan")</f>
        <v>Tidak Menyampaikan Laporan</v>
      </c>
      <c r="U23" s="7"/>
      <c r="V23" s="7"/>
      <c r="W23" s="7"/>
      <c r="X23" s="7"/>
      <c r="Y23" s="7"/>
      <c r="Z23" s="7"/>
      <c r="AA23" s="7" t="str">
        <f ca="1">IFERROR(__xludf.DUMMYFUNCTION("""COMPUTED_VALUE"""),"SP1")</f>
        <v>SP1</v>
      </c>
      <c r="AB23" s="9" t="str">
        <f ca="1">IFERROR(__xludf.DUMMYFUNCTION("""COMPUTED_VALUE"""),"TIDAK MENYAMPAIKAN LAPORAN 1; TIDAK MENYAMPAIKAN LAPORAN 2")</f>
        <v>TIDAK MENYAMPAIKAN LAPORAN 1; TIDAK MENYAMPAIKAN LAPORAN 2</v>
      </c>
      <c r="AC23" s="9"/>
      <c r="AD23" s="9"/>
      <c r="AE23" s="11"/>
      <c r="AF23" s="7" t="str">
        <f ca="1">IFERROR(__xludf.DUMMYFUNCTION("""COMPUTED_VALUE"""),"BITUNG")</f>
        <v>BITUNG</v>
      </c>
      <c r="AG23" s="8"/>
      <c r="AH23" s="7"/>
      <c r="AI23" s="7"/>
      <c r="AJ23" s="7"/>
      <c r="AK23" s="6"/>
      <c r="AL23" s="6"/>
      <c r="AM23" s="6"/>
      <c r="AN23" s="6"/>
      <c r="AO23" s="6"/>
    </row>
    <row r="24" spans="1:41" ht="75.5" x14ac:dyDescent="0.3">
      <c r="A24" s="7">
        <f ca="1">IFERROR(__xludf.DUMMYFUNCTION("""COMPUTED_VALUE"""),567)</f>
        <v>567</v>
      </c>
      <c r="B24" s="7" t="str">
        <f ca="1">IFERROR(__xludf.DUMMYFUNCTION("""COMPUTED_VALUE"""),"22.13.00340")</f>
        <v>22.13.00340</v>
      </c>
      <c r="C24" s="7" t="str">
        <f ca="1">IFERROR(__xludf.DUMMYFUNCTION("""COMPUTED_VALUE"""),"PT PERTAMINA PATRA NIAGA")</f>
        <v>PT PERTAMINA PATRA NIAGA</v>
      </c>
      <c r="D24" s="7" t="str">
        <f ca="1">IFERROR(__xludf.DUMMYFUNCTION("""COMPUTED_VALUE"""),"perizinan.ppn@pertamina.com")</f>
        <v>perizinan.ppn@pertamina.com</v>
      </c>
      <c r="E24" s="7" t="str">
        <f ca="1">IFERROR(__xludf.DUMMYFUNCTION("""COMPUTED_VALUE"""),"GEDUNG WISMA TUGU II LT. 2, JL. HR. RASUNA SAID KAV. C7-9, KELURAHAN KARET KUNINGAN, KECAMATAN SETIABUDI, KOTA JAKARTA SELATAN, PROVINSI DKI JAKARTA")</f>
        <v>GEDUNG WISMA TUGU II LT. 2, JL. HR. RASUNA SAID KAV. C7-9, KELURAHAN KARET KUNINGAN, KECAMATAN SETIABUDI, KOTA JAKARTA SELATAN, PROVINSI DKI JAKARTA</v>
      </c>
      <c r="F24" s="7" t="str">
        <f ca="1">IFERROR(__xludf.DUMMYFUNCTION("""COMPUTED_VALUE"""),"PERSETUJUAN")</f>
        <v>PERSETUJUAN</v>
      </c>
      <c r="G24" s="7" t="str">
        <f ca="1">IFERROR(__xludf.DUMMYFUNCTION("""COMPUTED_VALUE"""),"BERUSAHA")</f>
        <v>BERUSAHA</v>
      </c>
      <c r="H24" s="7" t="str">
        <f ca="1">IFERROR(__xludf.DUMMYFUNCTION("""COMPUTED_VALUE"""),"SULAWESI TENGGARA")</f>
        <v>SULAWESI TENGGARA</v>
      </c>
      <c r="I24" s="7" t="str">
        <f ca="1">IFERROR(__xludf.DUMMYFUNCTION("""COMPUTED_VALUE"""),"SELAT TIWORO")</f>
        <v>SELAT TIWORO</v>
      </c>
      <c r="J24" s="7" t="str">
        <f ca="1">IFERROR(__xludf.DUMMYFUNCTION("""COMPUTED_VALUE"""),"PENGEMBANGAN FUEL TERMINAL RAHA")</f>
        <v>PENGEMBANGAN FUEL TERMINAL RAHA</v>
      </c>
      <c r="K24" s="7">
        <f ca="1">IFERROR(__xludf.DUMMYFUNCTION("""COMPUTED_VALUE"""),20.71)</f>
        <v>20.71</v>
      </c>
      <c r="L24" s="7" t="str">
        <f ca="1">IFERROR(__xludf.DUMMYFUNCTION("""COMPUTED_VALUE"""),"ha")</f>
        <v>ha</v>
      </c>
      <c r="M24" s="7"/>
      <c r="N24" s="7"/>
      <c r="O24" s="7" t="str">
        <f ca="1">IFERROR(__xludf.DUMMYFUNCTION("""COMPUTED_VALUE"""),"06122210517400002")</f>
        <v>06122210517400002</v>
      </c>
      <c r="P24" s="8">
        <f ca="1">IFERROR(__xludf.DUMMYFUNCTION("""COMPUTED_VALUE"""),44901)</f>
        <v>44901</v>
      </c>
      <c r="Q24" s="8">
        <f ca="1">IFERROR(__xludf.DUMMYFUNCTION("""COMPUTED_VALUE"""),45657)</f>
        <v>45657</v>
      </c>
      <c r="R24" s="7" t="str">
        <f ca="1">IFERROR(__xludf.DUMMYFUNCTION("""COMPUTED_VALUE"""),"Terlambat")</f>
        <v>Terlambat</v>
      </c>
      <c r="S24" s="7"/>
      <c r="T24" s="7" t="str">
        <f ca="1">IFERROR(__xludf.DUMMYFUNCTION("""COMPUTED_VALUE"""),"Tidak Menyampaikan Laporan")</f>
        <v>Tidak Menyampaikan Laporan</v>
      </c>
      <c r="U24" s="7"/>
      <c r="V24" s="7"/>
      <c r="W24" s="7"/>
      <c r="X24" s="7"/>
      <c r="Y24" s="7"/>
      <c r="Z24" s="7"/>
      <c r="AA24" s="7" t="str">
        <f ca="1">IFERROR(__xludf.DUMMYFUNCTION("""COMPUTED_VALUE"""),"SP1")</f>
        <v>SP1</v>
      </c>
      <c r="AB24" s="9" t="str">
        <f ca="1">IFERROR(__xludf.DUMMYFUNCTION("""COMPUTED_VALUE"""),"LAPORAN 1 TERLAMBAT; TIDAK MENYAMPAIKAN LAPORAN 2")</f>
        <v>LAPORAN 1 TERLAMBAT; TIDAK MENYAMPAIKAN LAPORAN 2</v>
      </c>
      <c r="AC24" s="9"/>
      <c r="AD24" s="9"/>
      <c r="AE24" s="11"/>
      <c r="AF24" s="7" t="str">
        <f ca="1">IFERROR(__xludf.DUMMYFUNCTION("""COMPUTED_VALUE"""),"BITUNG")</f>
        <v>BITUNG</v>
      </c>
      <c r="AG24" s="8"/>
      <c r="AH24" s="7"/>
      <c r="AI24" s="7"/>
      <c r="AJ24" s="7"/>
      <c r="AK24" s="6"/>
      <c r="AL24" s="6"/>
      <c r="AM24" s="6"/>
      <c r="AN24" s="6"/>
      <c r="AO24" s="6"/>
    </row>
    <row r="25" spans="1:41" ht="50.5" x14ac:dyDescent="0.3">
      <c r="A25" s="7">
        <f ca="1">IFERROR(__xludf.DUMMYFUNCTION("""COMPUTED_VALUE"""),569)</f>
        <v>569</v>
      </c>
      <c r="B25" s="7" t="str">
        <f ca="1">IFERROR(__xludf.DUMMYFUNCTION("""COMPUTED_VALUE"""),"22.13.00343")</f>
        <v>22.13.00343</v>
      </c>
      <c r="C25" s="7" t="str">
        <f ca="1">IFERROR(__xludf.DUMMYFUNCTION("""COMPUTED_VALUE"""),"PT PERTAMINA PATRA NIAGA")</f>
        <v>PT PERTAMINA PATRA NIAGA</v>
      </c>
      <c r="D25" s="7" t="str">
        <f ca="1">IFERROR(__xludf.DUMMYFUNCTION("""COMPUTED_VALUE"""),"")</f>
        <v/>
      </c>
      <c r="E25" s="7" t="str">
        <f ca="1">IFERROR(__xludf.DUMMYFUNCTION("""COMPUTED_VALUE"""),"GEDUNG WISMA TUGU II LT. 2, JL. HR. RASUNA SAID KAV. C7-9, KELURAHAN KARET KUNINGAN, KECAMATAN SETIABUDI, KOTA JAKARTA SELATAN, PROVINSI DKI JAKARTA")</f>
        <v>GEDUNG WISMA TUGU II LT. 2, JL. HR. RASUNA SAID KAV. C7-9, KELURAHAN KARET KUNINGAN, KECAMATAN SETIABUDI, KOTA JAKARTA SELATAN, PROVINSI DKI JAKARTA</v>
      </c>
      <c r="F25" s="7" t="str">
        <f ca="1">IFERROR(__xludf.DUMMYFUNCTION("""COMPUTED_VALUE"""),"PERSETUJUAN")</f>
        <v>PERSETUJUAN</v>
      </c>
      <c r="G25" s="7" t="str">
        <f ca="1">IFERROR(__xludf.DUMMYFUNCTION("""COMPUTED_VALUE"""),"BERUSAHA")</f>
        <v>BERUSAHA</v>
      </c>
      <c r="H25" s="7" t="str">
        <f ca="1">IFERROR(__xludf.DUMMYFUNCTION("""COMPUTED_VALUE"""),"SULAWESI TENGGARA")</f>
        <v>SULAWESI TENGGARA</v>
      </c>
      <c r="I25" s="7" t="str">
        <f ca="1">IFERROR(__xludf.DUMMYFUNCTION("""COMPUTED_VALUE"""),"LAUT BANDA")</f>
        <v>LAUT BANDA</v>
      </c>
      <c r="J25" s="7" t="str">
        <f ca="1">IFERROR(__xludf.DUMMYFUNCTION("""COMPUTED_VALUE"""),"PENGEMBANGAN FUEL TERMINAL KENDARI")</f>
        <v>PENGEMBANGAN FUEL TERMINAL KENDARI</v>
      </c>
      <c r="K25" s="7">
        <f ca="1">IFERROR(__xludf.DUMMYFUNCTION("""COMPUTED_VALUE"""),3.46)</f>
        <v>3.46</v>
      </c>
      <c r="L25" s="7" t="str">
        <f ca="1">IFERROR(__xludf.DUMMYFUNCTION("""COMPUTED_VALUE"""),"ha")</f>
        <v>ha</v>
      </c>
      <c r="M25" s="7"/>
      <c r="N25" s="7"/>
      <c r="O25" s="7" t="str">
        <f ca="1">IFERROR(__xludf.DUMMYFUNCTION("""COMPUTED_VALUE"""),"06122210517400001")</f>
        <v>06122210517400001</v>
      </c>
      <c r="P25" s="8">
        <f ca="1">IFERROR(__xludf.DUMMYFUNCTION("""COMPUTED_VALUE"""),44901)</f>
        <v>44901</v>
      </c>
      <c r="Q25" s="8">
        <f ca="1">IFERROR(__xludf.DUMMYFUNCTION("""COMPUTED_VALUE"""),45299)</f>
        <v>45299</v>
      </c>
      <c r="R25" s="7" t="str">
        <f ca="1">IFERROR(__xludf.DUMMYFUNCTION("""COMPUTED_VALUE"""),"Terlambat")</f>
        <v>Terlambat</v>
      </c>
      <c r="S25" s="8">
        <f ca="1">IFERROR(__xludf.DUMMYFUNCTION("""COMPUTED_VALUE"""),45657)</f>
        <v>45657</v>
      </c>
      <c r="T25" s="7" t="str">
        <f ca="1">IFERROR(__xludf.DUMMYFUNCTION("""COMPUTED_VALUE"""),"Terlambat")</f>
        <v>Terlambat</v>
      </c>
      <c r="U25" s="7"/>
      <c r="V25" s="7"/>
      <c r="W25" s="7"/>
      <c r="X25" s="7"/>
      <c r="Y25" s="7"/>
      <c r="Z25" s="7"/>
      <c r="AA25" s="7" t="str">
        <f ca="1">IFERROR(__xludf.DUMMYFUNCTION("""COMPUTED_VALUE"""),"SP1")</f>
        <v>SP1</v>
      </c>
      <c r="AB25" s="9" t="str">
        <f ca="1">IFERROR(__xludf.DUMMYFUNCTION("""COMPUTED_VALUE"""),"LAPORAN 1 TERLAMBAT; LAPORAN 2 TERLAMBAT")</f>
        <v>LAPORAN 1 TERLAMBAT; LAPORAN 2 TERLAMBAT</v>
      </c>
      <c r="AC25" s="9"/>
      <c r="AD25" s="9"/>
      <c r="AE25" s="11"/>
      <c r="AF25" s="7" t="str">
        <f ca="1">IFERROR(__xludf.DUMMYFUNCTION("""COMPUTED_VALUE"""),"BITUNG")</f>
        <v>BITUNG</v>
      </c>
      <c r="AG25" s="8"/>
      <c r="AH25" s="7"/>
      <c r="AI25" s="7"/>
      <c r="AJ25" s="7"/>
      <c r="AK25" s="6"/>
      <c r="AL25" s="6"/>
      <c r="AM25" s="6"/>
      <c r="AN25" s="6"/>
      <c r="AO25" s="6"/>
    </row>
    <row r="26" spans="1:41" ht="88" x14ac:dyDescent="0.3">
      <c r="A26" s="7">
        <f ca="1">IFERROR(__xludf.DUMMYFUNCTION("""COMPUTED_VALUE"""),579)</f>
        <v>579</v>
      </c>
      <c r="B26" s="7" t="str">
        <f ca="1">IFERROR(__xludf.DUMMYFUNCTION("""COMPUTED_VALUE"""),"22.13.00382")</f>
        <v>22.13.00382</v>
      </c>
      <c r="C26" s="7" t="str">
        <f ca="1">IFERROR(__xludf.DUMMYFUNCTION("""COMPUTED_VALUE"""),"PT METAL SMELTINDO SELARAS")</f>
        <v>PT METAL SMELTINDO SELARAS</v>
      </c>
      <c r="D26" s="7" t="str">
        <f ca="1">IFERROR(__xludf.DUMMYFUNCTION("""COMPUTED_VALUE"""),"081235382300 / metalsmeltindoselaraslgl@gmail.com")</f>
        <v>081235382300 / metalsmeltindoselaraslgl@gmail.com</v>
      </c>
      <c r="E26" s="7" t="str">
        <f ca="1">IFERROR(__xludf.DUMMYFUNCTION("""COMPUTED_VALUE"""),"APL TOWER LANTAI 21, SUITE 9, JL. S. PARMAN KAV. 28, KELURAHAN TANJUNG DUREN SELATAN, KECAMATAN GROGOL PETAMBURAN, KOTA JAKARTA BARAT, PROVINSI DKI JAKARTA")</f>
        <v>APL TOWER LANTAI 21, SUITE 9, JL. S. PARMAN KAV. 28, KELURAHAN TANJUNG DUREN SELATAN, KECAMATAN GROGOL PETAMBURAN, KOTA JAKARTA BARAT, PROVINSI DKI JAKARTA</v>
      </c>
      <c r="F26" s="7" t="str">
        <f ca="1">IFERROR(__xludf.DUMMYFUNCTION("""COMPUTED_VALUE"""),"PERSETUJUAN")</f>
        <v>PERSETUJUAN</v>
      </c>
      <c r="G26" s="7" t="str">
        <f ca="1">IFERROR(__xludf.DUMMYFUNCTION("""COMPUTED_VALUE"""),"BERUSAHA")</f>
        <v>BERUSAHA</v>
      </c>
      <c r="H26" s="7" t="str">
        <f ca="1">IFERROR(__xludf.DUMMYFUNCTION("""COMPUTED_VALUE"""),"SULAWESI TENGAH")</f>
        <v>SULAWESI TENGAH</v>
      </c>
      <c r="I26" s="7" t="str">
        <f ca="1">IFERROR(__xludf.DUMMYFUNCTION("""COMPUTED_VALUE"""),"LAUT BANDA")</f>
        <v>LAUT BANDA</v>
      </c>
      <c r="J26" s="7" t="str">
        <f ca="1">IFERROR(__xludf.DUMMYFUNCTION("""COMPUTED_VALUE"""),"PEMANFAATAN AIR LAUT SELAIN ENERGI")</f>
        <v>PEMANFAATAN AIR LAUT SELAIN ENERGI</v>
      </c>
      <c r="K26" s="7">
        <f ca="1">IFERROR(__xludf.DUMMYFUNCTION("""COMPUTED_VALUE"""),0.78)</f>
        <v>0.78</v>
      </c>
      <c r="L26" s="7" t="str">
        <f ca="1">IFERROR(__xludf.DUMMYFUNCTION("""COMPUTED_VALUE"""),"ha")</f>
        <v>ha</v>
      </c>
      <c r="M26" s="7"/>
      <c r="N26" s="7"/>
      <c r="O26" s="7" t="str">
        <f ca="1">IFERROR(__xludf.DUMMYFUNCTION("""COMPUTED_VALUE"""),"16122210517200004")</f>
        <v>16122210517200004</v>
      </c>
      <c r="P26" s="8">
        <f ca="1">IFERROR(__xludf.DUMMYFUNCTION("""COMPUTED_VALUE"""),44911)</f>
        <v>44911</v>
      </c>
      <c r="Q26" s="8"/>
      <c r="R26" s="7" t="str">
        <f ca="1">IFERROR(__xludf.DUMMYFUNCTION("""COMPUTED_VALUE"""),"Tidak Menyampaikan Laporan")</f>
        <v>Tidak Menyampaikan Laporan</v>
      </c>
      <c r="S26" s="8"/>
      <c r="T26" s="7" t="str">
        <f ca="1">IFERROR(__xludf.DUMMYFUNCTION("""COMPUTED_VALUE"""),"Tidak Menyampaikan Laporan")</f>
        <v>Tidak Menyampaikan Laporan</v>
      </c>
      <c r="U26" s="7"/>
      <c r="V26" s="7"/>
      <c r="W26" s="7"/>
      <c r="X26" s="7"/>
      <c r="Y26" s="7"/>
      <c r="Z26" s="7"/>
      <c r="AA26" s="7" t="str">
        <f ca="1">IFERROR(__xludf.DUMMYFUNCTION("""COMPUTED_VALUE"""),"SP1")</f>
        <v>SP1</v>
      </c>
      <c r="AB26" s="9" t="str">
        <f ca="1">IFERROR(__xludf.DUMMYFUNCTION("""COMPUTED_VALUE"""),"TIDAK MENYAMPAIKAN LAPORAN 1; TIDAK MENYAMPAIKAN LAPORAN 2")</f>
        <v>TIDAK MENYAMPAIKAN LAPORAN 1; TIDAK MENYAMPAIKAN LAPORAN 2</v>
      </c>
      <c r="AC26" s="9"/>
      <c r="AD26" s="9"/>
      <c r="AE26" s="11"/>
      <c r="AF26" s="7" t="str">
        <f ca="1">IFERROR(__xludf.DUMMYFUNCTION("""COMPUTED_VALUE"""),"BITUNG")</f>
        <v>BITUNG</v>
      </c>
      <c r="AG26" s="8"/>
      <c r="AH26" s="7"/>
      <c r="AI26" s="7"/>
      <c r="AJ26" s="7"/>
      <c r="AK26" s="6"/>
      <c r="AL26" s="6"/>
      <c r="AM26" s="6"/>
      <c r="AN26" s="6"/>
      <c r="AO26" s="6"/>
    </row>
    <row r="27" spans="1:41" ht="88" x14ac:dyDescent="0.3">
      <c r="A27" s="7">
        <f ca="1">IFERROR(__xludf.DUMMYFUNCTION("""COMPUTED_VALUE"""),580)</f>
        <v>580</v>
      </c>
      <c r="B27" s="7" t="str">
        <f ca="1">IFERROR(__xludf.DUMMYFUNCTION("""COMPUTED_VALUE"""),"22.13.00383")</f>
        <v>22.13.00383</v>
      </c>
      <c r="C27" s="7" t="str">
        <f ca="1">IFERROR(__xludf.DUMMYFUNCTION("""COMPUTED_VALUE"""),"PT C-GONG PERKASA")</f>
        <v>PT C-GONG PERKASA</v>
      </c>
      <c r="D27" s="7" t="str">
        <f ca="1">IFERROR(__xludf.DUMMYFUNCTION("""COMPUTED_VALUE"""),"087889900211 / perkasa.cgong@gmail.com")</f>
        <v>087889900211 / perkasa.cgong@gmail.com</v>
      </c>
      <c r="E27" s="7" t="str">
        <f ca="1">IFERROR(__xludf.DUMMYFUNCTION("""COMPUTED_VALUE"""),"JL. SULTAN HASANUDDIN NO. 39, , KABUPATEN BANGGAI, PROVINSI SULAWESI TENGAH")</f>
        <v>JL. SULTAN HASANUDDIN NO. 39, , KABUPATEN BANGGAI, PROVINSI SULAWESI TENGAH</v>
      </c>
      <c r="F27" s="7" t="str">
        <f ca="1">IFERROR(__xludf.DUMMYFUNCTION("""COMPUTED_VALUE"""),"PERSETUJUAN")</f>
        <v>PERSETUJUAN</v>
      </c>
      <c r="G27" s="7" t="str">
        <f ca="1">IFERROR(__xludf.DUMMYFUNCTION("""COMPUTED_VALUE"""),"BERUSAHA")</f>
        <v>BERUSAHA</v>
      </c>
      <c r="H27" s="7" t="str">
        <f ca="1">IFERROR(__xludf.DUMMYFUNCTION("""COMPUTED_VALUE"""),"SULAWESI TENGAH")</f>
        <v>SULAWESI TENGAH</v>
      </c>
      <c r="I27" s="7" t="str">
        <f ca="1">IFERROR(__xludf.DUMMYFUNCTION("""COMPUTED_VALUE"""),"TELUK TOLO")</f>
        <v>TELUK TOLO</v>
      </c>
      <c r="J27" s="7" t="str">
        <f ca="1">IFERROR(__xludf.DUMMYFUNCTION("""COMPUTED_VALUE"""),"PEMBANGUNAN TERMINAL KHUSUS")</f>
        <v>PEMBANGUNAN TERMINAL KHUSUS</v>
      </c>
      <c r="K27" s="7">
        <f ca="1">IFERROR(__xludf.DUMMYFUNCTION("""COMPUTED_VALUE"""),16.7)</f>
        <v>16.7</v>
      </c>
      <c r="L27" s="7" t="str">
        <f ca="1">IFERROR(__xludf.DUMMYFUNCTION("""COMPUTED_VALUE"""),"ha")</f>
        <v>ha</v>
      </c>
      <c r="M27" s="7"/>
      <c r="N27" s="7"/>
      <c r="O27" s="7" t="str">
        <f ca="1">IFERROR(__xludf.DUMMYFUNCTION("""COMPUTED_VALUE"""),"20122210517200001")</f>
        <v>20122210517200001</v>
      </c>
      <c r="P27" s="8">
        <f ca="1">IFERROR(__xludf.DUMMYFUNCTION("""COMPUTED_VALUE"""),44915)</f>
        <v>44915</v>
      </c>
      <c r="Q27" s="8"/>
      <c r="R27" s="7" t="str">
        <f ca="1">IFERROR(__xludf.DUMMYFUNCTION("""COMPUTED_VALUE"""),"Tidak Menyampaikan Laporan")</f>
        <v>Tidak Menyampaikan Laporan</v>
      </c>
      <c r="S27" s="7"/>
      <c r="T27" s="7" t="str">
        <f ca="1">IFERROR(__xludf.DUMMYFUNCTION("""COMPUTED_VALUE"""),"Tidak Menyampaikan Laporan")</f>
        <v>Tidak Menyampaikan Laporan</v>
      </c>
      <c r="U27" s="7"/>
      <c r="V27" s="7"/>
      <c r="W27" s="7"/>
      <c r="X27" s="7"/>
      <c r="Y27" s="7"/>
      <c r="Z27" s="7"/>
      <c r="AA27" s="7" t="str">
        <f ca="1">IFERROR(__xludf.DUMMYFUNCTION("""COMPUTED_VALUE"""),"SP1")</f>
        <v>SP1</v>
      </c>
      <c r="AB27" s="9" t="str">
        <f ca="1">IFERROR(__xludf.DUMMYFUNCTION("""COMPUTED_VALUE"""),"TIDAK MENYAMPAIKAN LAPORAN 1; TIDAK MENYAMPAIKAN LAPORAN 2")</f>
        <v>TIDAK MENYAMPAIKAN LAPORAN 1; TIDAK MENYAMPAIKAN LAPORAN 2</v>
      </c>
      <c r="AC27" s="9"/>
      <c r="AD27" s="9"/>
      <c r="AE27" s="11"/>
      <c r="AF27" s="7" t="str">
        <f ca="1">IFERROR(__xludf.DUMMYFUNCTION("""COMPUTED_VALUE"""),"BITUNG")</f>
        <v>BITUNG</v>
      </c>
      <c r="AG27" s="8"/>
      <c r="AH27" s="7"/>
      <c r="AI27" s="7"/>
      <c r="AJ27" s="7"/>
      <c r="AK27" s="6"/>
      <c r="AL27" s="6"/>
      <c r="AM27" s="6"/>
      <c r="AN27" s="6"/>
      <c r="AO27" s="6"/>
    </row>
    <row r="28" spans="1:41" ht="25.5" x14ac:dyDescent="0.3">
      <c r="A28" s="7">
        <f ca="1">IFERROR(__xludf.DUMMYFUNCTION("""COMPUTED_VALUE"""),597)</f>
        <v>597</v>
      </c>
      <c r="B28" s="7" t="str">
        <f ca="1">IFERROR(__xludf.DUMMYFUNCTION("""COMPUTED_VALUE"""),"22.13.00404")</f>
        <v>22.13.00404</v>
      </c>
      <c r="C28" s="7" t="str">
        <f ca="1">IFERROR(__xludf.DUMMYFUNCTION("""COMPUTED_VALUE"""),"PT PUTRA MEKONGGA SEJAHTERA")</f>
        <v>PT PUTRA MEKONGGA SEJAHTERA</v>
      </c>
      <c r="D28" s="7" t="str">
        <f ca="1">IFERROR(__xludf.DUMMYFUNCTION("""COMPUTED_VALUE"""),"putramekonggasejahtera@yahoo.com")</f>
        <v>putramekonggasejahtera@yahoo.com</v>
      </c>
      <c r="E28" s="7" t="str">
        <f ca="1">IFERROR(__xludf.DUMMYFUNCTION("""COMPUTED_VALUE"""),"JL. PROTOKOL NO. 21 DAWI-DAWI POMALAA, KELURAHAN DAWI-DAWI, KECAMATAN POMALAA, KABUPATEN KOLAKA, PROVINSI SULAWESI TENGGARA")</f>
        <v>JL. PROTOKOL NO. 21 DAWI-DAWI POMALAA, KELURAHAN DAWI-DAWI, KECAMATAN POMALAA, KABUPATEN KOLAKA, PROVINSI SULAWESI TENGGARA</v>
      </c>
      <c r="F28" s="7" t="str">
        <f ca="1">IFERROR(__xludf.DUMMYFUNCTION("""COMPUTED_VALUE"""),"PERSETUJUAN")</f>
        <v>PERSETUJUAN</v>
      </c>
      <c r="G28" s="7" t="str">
        <f ca="1">IFERROR(__xludf.DUMMYFUNCTION("""COMPUTED_VALUE"""),"BERUSAHA")</f>
        <v>BERUSAHA</v>
      </c>
      <c r="H28" s="7" t="str">
        <f ca="1">IFERROR(__xludf.DUMMYFUNCTION("""COMPUTED_VALUE"""),"SULAWESI TENGGARA")</f>
        <v>SULAWESI TENGGARA</v>
      </c>
      <c r="I28" s="7" t="str">
        <f ca="1">IFERROR(__xludf.DUMMYFUNCTION("""COMPUTED_VALUE"""),"TELUK BONE")</f>
        <v>TELUK BONE</v>
      </c>
      <c r="J28" s="7" t="str">
        <f ca="1">IFERROR(__xludf.DUMMYFUNCTION("""COMPUTED_VALUE"""),"PENGEMBANGAN TERMINAL KHUSUS")</f>
        <v>PENGEMBANGAN TERMINAL KHUSUS</v>
      </c>
      <c r="K28" s="7">
        <f ca="1">IFERROR(__xludf.DUMMYFUNCTION("""COMPUTED_VALUE"""),34.19)</f>
        <v>34.19</v>
      </c>
      <c r="L28" s="7" t="str">
        <f ca="1">IFERROR(__xludf.DUMMYFUNCTION("""COMPUTED_VALUE"""),"ha")</f>
        <v>ha</v>
      </c>
      <c r="M28" s="7"/>
      <c r="N28" s="7"/>
      <c r="O28" s="7" t="str">
        <f ca="1">IFERROR(__xludf.DUMMYFUNCTION("""COMPUTED_VALUE"""),"29122210517400003")</f>
        <v>29122210517400003</v>
      </c>
      <c r="P28" s="8">
        <f ca="1">IFERROR(__xludf.DUMMYFUNCTION("""COMPUTED_VALUE"""),44924)</f>
        <v>44924</v>
      </c>
      <c r="Q28" s="8">
        <f ca="1">IFERROR(__xludf.DUMMYFUNCTION("""COMPUTED_VALUE"""),45386)</f>
        <v>45386</v>
      </c>
      <c r="R28" s="7" t="str">
        <f ca="1">IFERROR(__xludf.DUMMYFUNCTION("""COMPUTED_VALUE"""),"Terlambat")</f>
        <v>Terlambat</v>
      </c>
      <c r="S28" s="8">
        <f ca="1">IFERROR(__xludf.DUMMYFUNCTION("""COMPUTED_VALUE"""),45650)</f>
        <v>45650</v>
      </c>
      <c r="T28" s="7" t="str">
        <f ca="1">IFERROR(__xludf.DUMMYFUNCTION("""COMPUTED_VALUE"""),"Tepat Waktu")</f>
        <v>Tepat Waktu</v>
      </c>
      <c r="U28" s="7"/>
      <c r="V28" s="7"/>
      <c r="W28" s="7"/>
      <c r="X28" s="7"/>
      <c r="Y28" s="7"/>
      <c r="Z28" s="7"/>
      <c r="AA28" s="7" t="str">
        <f ca="1">IFERROR(__xludf.DUMMYFUNCTION("""COMPUTED_VALUE"""),"SP1")</f>
        <v>SP1</v>
      </c>
      <c r="AB28" s="9" t="str">
        <f ca="1">IFERROR(__xludf.DUMMYFUNCTION("""COMPUTED_VALUE"""),"LAPORAN 1 TERLAMBAT")</f>
        <v>LAPORAN 1 TERLAMBAT</v>
      </c>
      <c r="AC28" s="9"/>
      <c r="AD28" s="9"/>
      <c r="AE28" s="11"/>
      <c r="AF28" s="7" t="str">
        <f ca="1">IFERROR(__xludf.DUMMYFUNCTION("""COMPUTED_VALUE"""),"BITUNG")</f>
        <v>BITUNG</v>
      </c>
      <c r="AG28" s="7" t="str">
        <f ca="1">IFERROR(__xludf.DUMMYFUNCTION("""COMPUTED_VALUE"""),"SP2")</f>
        <v>SP2</v>
      </c>
      <c r="AH28" s="7"/>
      <c r="AI28" s="7"/>
      <c r="AJ28" s="7"/>
      <c r="AK28" s="6"/>
      <c r="AL28" s="6"/>
      <c r="AM28" s="6"/>
      <c r="AN28" s="6"/>
      <c r="AO28" s="6"/>
    </row>
    <row r="29" spans="1:41" ht="25.5" x14ac:dyDescent="0.3">
      <c r="A29" s="7">
        <f ca="1">IFERROR(__xludf.DUMMYFUNCTION("""COMPUTED_VALUE"""),603)</f>
        <v>603</v>
      </c>
      <c r="B29" s="7" t="str">
        <f ca="1">IFERROR(__xludf.DUMMYFUNCTION("""COMPUTED_VALUE"""),"22.13.00399")</f>
        <v>22.13.00399</v>
      </c>
      <c r="C29" s="7" t="str">
        <f ca="1">IFERROR(__xludf.DUMMYFUNCTION("""COMPUTED_VALUE"""),"PT GEMA KREASI PERDANA")</f>
        <v>PT GEMA KREASI PERDANA</v>
      </c>
      <c r="D29" s="7" t="str">
        <f ca="1">IFERROR(__xludf.DUMMYFUNCTION("""COMPUTED_VALUE"""),"")</f>
        <v/>
      </c>
      <c r="E29" s="7" t="str">
        <f ca="1">IFERROR(__xludf.DUMMYFUNCTION("""COMPUTED_VALUE"""),"JL MARTANDU NO. 97, KELURAHAN ANDONOHU, KECAMATAN POASIA, KOTA KENDARI, PROVINSI SULAWESI TENGGARA")</f>
        <v>JL MARTANDU NO. 97, KELURAHAN ANDONOHU, KECAMATAN POASIA, KOTA KENDARI, PROVINSI SULAWESI TENGGARA</v>
      </c>
      <c r="F29" s="7" t="str">
        <f ca="1">IFERROR(__xludf.DUMMYFUNCTION("""COMPUTED_VALUE"""),"PERSETUJUAN")</f>
        <v>PERSETUJUAN</v>
      </c>
      <c r="G29" s="7" t="str">
        <f ca="1">IFERROR(__xludf.DUMMYFUNCTION("""COMPUTED_VALUE"""),"BERUSAHA")</f>
        <v>BERUSAHA</v>
      </c>
      <c r="H29" s="7" t="str">
        <f ca="1">IFERROR(__xludf.DUMMYFUNCTION("""COMPUTED_VALUE"""),"SULAWESI TENGGARA")</f>
        <v>SULAWESI TENGGARA</v>
      </c>
      <c r="I29" s="7" t="str">
        <f ca="1">IFERROR(__xludf.DUMMYFUNCTION("""COMPUTED_VALUE"""),"SELAT WAWONII")</f>
        <v>SELAT WAWONII</v>
      </c>
      <c r="J29" s="7" t="str">
        <f ca="1">IFERROR(__xludf.DUMMYFUNCTION("""COMPUTED_VALUE"""),"PEMBANGUNAN TERMINAL KHUSUS")</f>
        <v>PEMBANGUNAN TERMINAL KHUSUS</v>
      </c>
      <c r="K29" s="7">
        <f ca="1">IFERROR(__xludf.DUMMYFUNCTION("""COMPUTED_VALUE"""),13.26)</f>
        <v>13.26</v>
      </c>
      <c r="L29" s="7" t="str">
        <f ca="1">IFERROR(__xludf.DUMMYFUNCTION("""COMPUTED_VALUE"""),"ha")</f>
        <v>ha</v>
      </c>
      <c r="M29" s="7"/>
      <c r="N29" s="7"/>
      <c r="O29" s="7" t="str">
        <f ca="1">IFERROR(__xludf.DUMMYFUNCTION("""COMPUTED_VALUE"""),"30122210517400004")</f>
        <v>30122210517400004</v>
      </c>
      <c r="P29" s="8">
        <f ca="1">IFERROR(__xludf.DUMMYFUNCTION("""COMPUTED_VALUE"""),44925)</f>
        <v>44925</v>
      </c>
      <c r="Q29" s="8">
        <f ca="1">IFERROR(__xludf.DUMMYFUNCTION("""COMPUTED_VALUE"""),45329)</f>
        <v>45329</v>
      </c>
      <c r="R29" s="7" t="str">
        <f ca="1">IFERROR(__xludf.DUMMYFUNCTION("""COMPUTED_VALUE"""),"Terlambat")</f>
        <v>Terlambat</v>
      </c>
      <c r="S29" s="8">
        <f ca="1">IFERROR(__xludf.DUMMYFUNCTION("""COMPUTED_VALUE"""),45645)</f>
        <v>45645</v>
      </c>
      <c r="T29" s="7" t="str">
        <f ca="1">IFERROR(__xludf.DUMMYFUNCTION("""COMPUTED_VALUE"""),"Tepat Waktu")</f>
        <v>Tepat Waktu</v>
      </c>
      <c r="U29" s="7"/>
      <c r="V29" s="7"/>
      <c r="W29" s="7"/>
      <c r="X29" s="7"/>
      <c r="Y29" s="7"/>
      <c r="Z29" s="7"/>
      <c r="AA29" s="7" t="str">
        <f ca="1">IFERROR(__xludf.DUMMYFUNCTION("""COMPUTED_VALUE"""),"SP1")</f>
        <v>SP1</v>
      </c>
      <c r="AB29" s="9" t="str">
        <f ca="1">IFERROR(__xludf.DUMMYFUNCTION("""COMPUTED_VALUE"""),"LAPORAN 1 TERLAMBAT")</f>
        <v>LAPORAN 1 TERLAMBAT</v>
      </c>
      <c r="AC29" s="9"/>
      <c r="AD29" s="9"/>
      <c r="AE29" s="11"/>
      <c r="AF29" s="7" t="str">
        <f ca="1">IFERROR(__xludf.DUMMYFUNCTION("""COMPUTED_VALUE"""),"BITUNG")</f>
        <v>BITUNG</v>
      </c>
      <c r="AG29" s="8"/>
      <c r="AH29" s="7"/>
      <c r="AI29" s="7"/>
      <c r="AJ29" s="7"/>
      <c r="AK29" s="6"/>
      <c r="AL29" s="6"/>
      <c r="AM29" s="6"/>
      <c r="AN29" s="6"/>
      <c r="AO29" s="6"/>
    </row>
    <row r="30" spans="1:41" ht="75.5" x14ac:dyDescent="0.3">
      <c r="A30" s="7">
        <f ca="1">IFERROR(__xludf.DUMMYFUNCTION("""COMPUTED_VALUE"""),620)</f>
        <v>620</v>
      </c>
      <c r="B30" s="7" t="str">
        <f ca="1">IFERROR(__xludf.DUMMYFUNCTION("""COMPUTED_VALUE"""),"23.13.00007")</f>
        <v>23.13.00007</v>
      </c>
      <c r="C30" s="7" t="str">
        <f ca="1">IFERROR(__xludf.DUMMYFUNCTION("""COMPUTED_VALUE"""),"PT VALE INDONESIA")</f>
        <v>PT VALE INDONESIA</v>
      </c>
      <c r="D30" s="7" t="str">
        <f ca="1">IFERROR(__xludf.DUMMYFUNCTION("""COMPUTED_VALUE"""),"")</f>
        <v/>
      </c>
      <c r="E30" s="7" t="str">
        <f ca="1">IFERROR(__xludf.DUMMYFUNCTION("""COMPUTED_VALUE"""),"SEQUIS TOWER LT. 20 UNIT 6-7, JL. JENDERAL SUDIRMAN KAV. 71, KELURAHAN SENAYAN, KECAMATAN KEBAYORAN BARU, KOTA JAKARTA SELATAN, PROVINSI DKI JAKARTA")</f>
        <v>SEQUIS TOWER LT. 20 UNIT 6-7, JL. JENDERAL SUDIRMAN KAV. 71, KELURAHAN SENAYAN, KECAMATAN KEBAYORAN BARU, KOTA JAKARTA SELATAN, PROVINSI DKI JAKARTA</v>
      </c>
      <c r="F30" s="7" t="str">
        <f ca="1">IFERROR(__xludf.DUMMYFUNCTION("""COMPUTED_VALUE"""),"PERSETUJUAN")</f>
        <v>PERSETUJUAN</v>
      </c>
      <c r="G30" s="7" t="str">
        <f ca="1">IFERROR(__xludf.DUMMYFUNCTION("""COMPUTED_VALUE"""),"BERUSAHA")</f>
        <v>BERUSAHA</v>
      </c>
      <c r="H30" s="7" t="str">
        <f ca="1">IFERROR(__xludf.DUMMYFUNCTION("""COMPUTED_VALUE"""),"SULAWESI TENGAH")</f>
        <v>SULAWESI TENGAH</v>
      </c>
      <c r="I30" s="7" t="str">
        <f ca="1">IFERROR(__xludf.DUMMYFUNCTION("""COMPUTED_VALUE"""),"TELUK TOLO")</f>
        <v>TELUK TOLO</v>
      </c>
      <c r="J30" s="7" t="str">
        <f ca="1">IFERROR(__xludf.DUMMYFUNCTION("""COMPUTED_VALUE"""),"PEMBANGUNAN TERMINAL KHUSUS")</f>
        <v>PEMBANGUNAN TERMINAL KHUSUS</v>
      </c>
      <c r="K30" s="7">
        <f ca="1">IFERROR(__xludf.DUMMYFUNCTION("""COMPUTED_VALUE"""),47.68)</f>
        <v>47.68</v>
      </c>
      <c r="L30" s="7" t="str">
        <f ca="1">IFERROR(__xludf.DUMMYFUNCTION("""COMPUTED_VALUE"""),"ha")</f>
        <v>ha</v>
      </c>
      <c r="M30" s="7"/>
      <c r="N30" s="7"/>
      <c r="O30" s="7" t="str">
        <f ca="1">IFERROR(__xludf.DUMMYFUNCTION("""COMPUTED_VALUE"""),"13012310517200003")</f>
        <v>13012310517200003</v>
      </c>
      <c r="P30" s="8">
        <f ca="1">IFERROR(__xludf.DUMMYFUNCTION("""COMPUTED_VALUE"""),44939)</f>
        <v>44939</v>
      </c>
      <c r="Q30" s="8">
        <f ca="1">IFERROR(__xludf.DUMMYFUNCTION("""COMPUTED_VALUE"""),45669)</f>
        <v>45669</v>
      </c>
      <c r="R30" s="7" t="str">
        <f ca="1">IFERROR(__xludf.DUMMYFUNCTION("""COMPUTED_VALUE"""),"Terlambat")</f>
        <v>Terlambat</v>
      </c>
      <c r="S30" s="7"/>
      <c r="T30" s="7" t="str">
        <f ca="1">IFERROR(__xludf.DUMMYFUNCTION("""COMPUTED_VALUE"""),"Tidak Menyampaikan Laporan")</f>
        <v>Tidak Menyampaikan Laporan</v>
      </c>
      <c r="U30" s="7"/>
      <c r="V30" s="7"/>
      <c r="W30" s="7"/>
      <c r="X30" s="7"/>
      <c r="Y30" s="7"/>
      <c r="Z30" s="7"/>
      <c r="AA30" s="7" t="str">
        <f ca="1">IFERROR(__xludf.DUMMYFUNCTION("""COMPUTED_VALUE"""),"SP1")</f>
        <v>SP1</v>
      </c>
      <c r="AB30" s="9" t="str">
        <f ca="1">IFERROR(__xludf.DUMMYFUNCTION("""COMPUTED_VALUE"""),"LAPORAN 1 TERLAMBAT; TIDAK MENYAMPAIKAN LAPORAN 2")</f>
        <v>LAPORAN 1 TERLAMBAT; TIDAK MENYAMPAIKAN LAPORAN 2</v>
      </c>
      <c r="AC30" s="9"/>
      <c r="AD30" s="9"/>
      <c r="AE30" s="11"/>
      <c r="AF30" s="7" t="str">
        <f ca="1">IFERROR(__xludf.DUMMYFUNCTION("""COMPUTED_VALUE"""),"BITUNG")</f>
        <v>BITUNG</v>
      </c>
      <c r="AG30" s="8"/>
      <c r="AH30" s="7"/>
      <c r="AI30" s="7"/>
      <c r="AJ30" s="7"/>
      <c r="AK30" s="6"/>
      <c r="AL30" s="6"/>
      <c r="AM30" s="6"/>
      <c r="AN30" s="6"/>
      <c r="AO30" s="6"/>
    </row>
    <row r="31" spans="1:41" ht="25.5" x14ac:dyDescent="0.3">
      <c r="A31" s="7">
        <f ca="1">IFERROR(__xludf.DUMMYFUNCTION("""COMPUTED_VALUE"""),626)</f>
        <v>626</v>
      </c>
      <c r="B31" s="7" t="str">
        <f ca="1">IFERROR(__xludf.DUMMYFUNCTION("""COMPUTED_VALUE"""),"23.13.00025")</f>
        <v>23.13.00025</v>
      </c>
      <c r="C31" s="7" t="str">
        <f ca="1">IFERROR(__xludf.DUMMYFUNCTION("""COMPUTED_VALUE"""),"MOH. ODIT PRAYOGO")</f>
        <v>MOH. ODIT PRAYOGO</v>
      </c>
      <c r="D31" s="7" t="str">
        <f ca="1">IFERROR(__xludf.DUMMYFUNCTION("""COMPUTED_VALUE"""),"")</f>
        <v/>
      </c>
      <c r="E31" s="7" t="str">
        <f ca="1">IFERROR(__xludf.DUMMYFUNCTION("""COMPUTED_VALUE"""),"KOMPLEKS BTN LATJINTA BLOK J 16, KELURAHAN BONGGOEYA, KECAMATAN WUA-WUA, KOTA KENDARI, PROVINSI SULAWESI TENGGARA")</f>
        <v>KOMPLEKS BTN LATJINTA BLOK J 16, KELURAHAN BONGGOEYA, KECAMATAN WUA-WUA, KOTA KENDARI, PROVINSI SULAWESI TENGGARA</v>
      </c>
      <c r="F31" s="7" t="str">
        <f ca="1">IFERROR(__xludf.DUMMYFUNCTION("""COMPUTED_VALUE"""),"PERSETUJUAN")</f>
        <v>PERSETUJUAN</v>
      </c>
      <c r="G31" s="7" t="str">
        <f ca="1">IFERROR(__xludf.DUMMYFUNCTION("""COMPUTED_VALUE"""),"BERUSAHA")</f>
        <v>BERUSAHA</v>
      </c>
      <c r="H31" s="7" t="str">
        <f ca="1">IFERROR(__xludf.DUMMYFUNCTION("""COMPUTED_VALUE"""),"SULAWESI TENGGARA")</f>
        <v>SULAWESI TENGGARA</v>
      </c>
      <c r="I31" s="7" t="str">
        <f ca="1">IFERROR(__xludf.DUMMYFUNCTION("""COMPUTED_VALUE"""),"LAUT BANDA")</f>
        <v>LAUT BANDA</v>
      </c>
      <c r="J31" s="7" t="str">
        <f ca="1">IFERROR(__xludf.DUMMYFUNCTION("""COMPUTED_VALUE"""),"BUDIDAYA KARANG HIAS")</f>
        <v>BUDIDAYA KARANG HIAS</v>
      </c>
      <c r="K31" s="7">
        <f ca="1">IFERROR(__xludf.DUMMYFUNCTION("""COMPUTED_VALUE"""),0.39)</f>
        <v>0.39</v>
      </c>
      <c r="L31" s="7" t="str">
        <f ca="1">IFERROR(__xludf.DUMMYFUNCTION("""COMPUTED_VALUE"""),"ha")</f>
        <v>ha</v>
      </c>
      <c r="M31" s="7"/>
      <c r="N31" s="7"/>
      <c r="O31" s="7" t="str">
        <f ca="1">IFERROR(__xludf.DUMMYFUNCTION("""COMPUTED_VALUE"""),"13012310517400001")</f>
        <v>13012310517400001</v>
      </c>
      <c r="P31" s="8">
        <f ca="1">IFERROR(__xludf.DUMMYFUNCTION("""COMPUTED_VALUE"""),44939)</f>
        <v>44939</v>
      </c>
      <c r="Q31" s="8">
        <f ca="1">IFERROR(__xludf.DUMMYFUNCTION("""COMPUTED_VALUE"""),45444)</f>
        <v>45444</v>
      </c>
      <c r="R31" s="7" t="str">
        <f ca="1">IFERROR(__xludf.DUMMYFUNCTION("""COMPUTED_VALUE"""),"Terlambat")</f>
        <v>Terlambat</v>
      </c>
      <c r="S31" s="8">
        <f ca="1">IFERROR(__xludf.DUMMYFUNCTION("""COMPUTED_VALUE"""),45663)</f>
        <v>45663</v>
      </c>
      <c r="T31" s="7" t="str">
        <f ca="1">IFERROR(__xludf.DUMMYFUNCTION("""COMPUTED_VALUE"""),"Tepat Waktu")</f>
        <v>Tepat Waktu</v>
      </c>
      <c r="U31" s="7"/>
      <c r="V31" s="7"/>
      <c r="W31" s="7"/>
      <c r="X31" s="7"/>
      <c r="Y31" s="7"/>
      <c r="Z31" s="7"/>
      <c r="AA31" s="7" t="str">
        <f ca="1">IFERROR(__xludf.DUMMYFUNCTION("""COMPUTED_VALUE"""),"SP1")</f>
        <v>SP1</v>
      </c>
      <c r="AB31" s="9" t="str">
        <f ca="1">IFERROR(__xludf.DUMMYFUNCTION("""COMPUTED_VALUE"""),"LAPORAN 1 TERLAMBAT")</f>
        <v>LAPORAN 1 TERLAMBAT</v>
      </c>
      <c r="AC31" s="9"/>
      <c r="AD31" s="9"/>
      <c r="AE31" s="11"/>
      <c r="AF31" s="7" t="str">
        <f ca="1">IFERROR(__xludf.DUMMYFUNCTION("""COMPUTED_VALUE"""),"BITUNG")</f>
        <v>BITUNG</v>
      </c>
      <c r="AG31" s="8"/>
      <c r="AH31" s="7"/>
      <c r="AI31" s="7"/>
      <c r="AJ31" s="7"/>
      <c r="AK31" s="6"/>
      <c r="AL31" s="6"/>
      <c r="AM31" s="6"/>
      <c r="AN31" s="6"/>
      <c r="AO31" s="6"/>
    </row>
    <row r="32" spans="1:41" ht="50.5" x14ac:dyDescent="0.3">
      <c r="A32" s="7">
        <f ca="1">IFERROR(__xludf.DUMMYFUNCTION("""COMPUTED_VALUE"""),639)</f>
        <v>639</v>
      </c>
      <c r="B32" s="7" t="str">
        <f ca="1">IFERROR(__xludf.DUMMYFUNCTION("""COMPUTED_VALUE"""),"23.13.00038")</f>
        <v>23.13.00038</v>
      </c>
      <c r="C32" s="7" t="str">
        <f ca="1">IFERROR(__xludf.DUMMYFUNCTION("""COMPUTED_VALUE"""),"PT BHINEKA MANCAWISATA")</f>
        <v>PT BHINEKA MANCAWISATA</v>
      </c>
      <c r="D32" s="7" t="str">
        <f ca="1">IFERROR(__xludf.DUMMYFUNCTION("""COMPUTED_VALUE"""),"")</f>
        <v/>
      </c>
      <c r="E32" s="7" t="str">
        <f ca="1">IFERROR(__xludf.DUMMYFUNCTION("""COMPUTED_VALUE"""),"JL. ABDUL MUIS NO. 30 , KELURAHAN PETOJO SELATAN, KECAMATAN GAMBIR, KOTA ADM. JAKARTA PUSAT, PROVINSI DKI JAKARTA")</f>
        <v>JL. ABDUL MUIS NO. 30 , KELURAHAN PETOJO SELATAN, KECAMATAN GAMBIR, KOTA ADM. JAKARTA PUSAT, PROVINSI DKI JAKARTA</v>
      </c>
      <c r="F32" s="7" t="str">
        <f ca="1">IFERROR(__xludf.DUMMYFUNCTION("""COMPUTED_VALUE"""),"PERSETUJUAN")</f>
        <v>PERSETUJUAN</v>
      </c>
      <c r="G32" s="7" t="str">
        <f ca="1">IFERROR(__xludf.DUMMYFUNCTION("""COMPUTED_VALUE"""),"BERUSAHA")</f>
        <v>BERUSAHA</v>
      </c>
      <c r="H32" s="7" t="str">
        <f ca="1">IFERROR(__xludf.DUMMYFUNCTION("""COMPUTED_VALUE"""),"SULAWESI UTARA")</f>
        <v>SULAWESI UTARA</v>
      </c>
      <c r="I32" s="7" t="str">
        <f ca="1">IFERROR(__xludf.DUMMYFUNCTION("""COMPUTED_VALUE"""),"TELUK KORA-KORA")</f>
        <v>TELUK KORA-KORA</v>
      </c>
      <c r="J32" s="7" t="str">
        <f ca="1">IFERROR(__xludf.DUMMYFUNCTION("""COMPUTED_VALUE"""),"TERMINAL KHUSUS PARIWISATA")</f>
        <v>TERMINAL KHUSUS PARIWISATA</v>
      </c>
      <c r="K32" s="7">
        <f ca="1">IFERROR(__xludf.DUMMYFUNCTION("""COMPUTED_VALUE"""),2.41)</f>
        <v>2.41</v>
      </c>
      <c r="L32" s="7" t="str">
        <f ca="1">IFERROR(__xludf.DUMMYFUNCTION("""COMPUTED_VALUE"""),"ha")</f>
        <v>ha</v>
      </c>
      <c r="M32" s="7"/>
      <c r="N32" s="7"/>
      <c r="O32" s="7" t="str">
        <f ca="1">IFERROR(__xludf.DUMMYFUNCTION("""COMPUTED_VALUE"""),"24012310517100002")</f>
        <v>24012310517100002</v>
      </c>
      <c r="P32" s="8">
        <f ca="1">IFERROR(__xludf.DUMMYFUNCTION("""COMPUTED_VALUE"""),44950)</f>
        <v>44950</v>
      </c>
      <c r="Q32" s="8">
        <f ca="1">IFERROR(__xludf.DUMMYFUNCTION("""COMPUTED_VALUE"""),45296)</f>
        <v>45296</v>
      </c>
      <c r="R32" s="7" t="str">
        <f ca="1">IFERROR(__xludf.DUMMYFUNCTION("""COMPUTED_VALUE"""),"Tepat Waktu")</f>
        <v>Tepat Waktu</v>
      </c>
      <c r="S32" s="7"/>
      <c r="T32" s="7" t="str">
        <f ca="1">IFERROR(__xludf.DUMMYFUNCTION("""COMPUTED_VALUE"""),"Tidak Menyampaikan Laporan")</f>
        <v>Tidak Menyampaikan Laporan</v>
      </c>
      <c r="U32" s="7"/>
      <c r="V32" s="7"/>
      <c r="W32" s="7"/>
      <c r="X32" s="7"/>
      <c r="Y32" s="7"/>
      <c r="Z32" s="7"/>
      <c r="AA32" s="7" t="str">
        <f ca="1">IFERROR(__xludf.DUMMYFUNCTION("""COMPUTED_VALUE"""),"SP1")</f>
        <v>SP1</v>
      </c>
      <c r="AB32" s="9" t="str">
        <f ca="1">IFERROR(__xludf.DUMMYFUNCTION("""COMPUTED_VALUE"""),"TIDAK MENYAMPAIKAN LAPORAN 2")</f>
        <v>TIDAK MENYAMPAIKAN LAPORAN 2</v>
      </c>
      <c r="AC32" s="9"/>
      <c r="AD32" s="9"/>
      <c r="AE32" s="11"/>
      <c r="AF32" s="7" t="str">
        <f ca="1">IFERROR(__xludf.DUMMYFUNCTION("""COMPUTED_VALUE"""),"BITUNG")</f>
        <v>BITUNG</v>
      </c>
      <c r="AG32" s="8"/>
      <c r="AH32" s="7"/>
      <c r="AI32" s="7"/>
      <c r="AJ32" s="7"/>
      <c r="AK32" s="6"/>
      <c r="AL32" s="6"/>
      <c r="AM32" s="6"/>
      <c r="AN32" s="6"/>
      <c r="AO32" s="6"/>
    </row>
    <row r="33" spans="1:41" ht="50.5" x14ac:dyDescent="0.3">
      <c r="A33" s="7">
        <f ca="1">IFERROR(__xludf.DUMMYFUNCTION("""COMPUTED_VALUE"""),648)</f>
        <v>648</v>
      </c>
      <c r="B33" s="7" t="str">
        <f ca="1">IFERROR(__xludf.DUMMYFUNCTION("""COMPUTED_VALUE"""),"23.13.00028")</f>
        <v>23.13.00028</v>
      </c>
      <c r="C33" s="7" t="str">
        <f ca="1">IFERROR(__xludf.DUMMYFUNCTION("""COMPUTED_VALUE"""),"PT MAJUSETIA NUSASENTOSA")</f>
        <v>PT MAJUSETIA NUSASENTOSA</v>
      </c>
      <c r="D33" s="7" t="str">
        <f ca="1">IFERROR(__xludf.DUMMYFUNCTION("""COMPUTED_VALUE"""),"")</f>
        <v/>
      </c>
      <c r="E33" s="7" t="str">
        <f ca="1">IFERROR(__xludf.DUMMYFUNCTION("""COMPUTED_VALUE"""),"JL. DIPONEGORO NO. 92-94 KENDARI, KELURAHAN BENU BENUA, KECAMATAN KENDARI BARAT, KOTA KENDARI, PROVINSI SULAWESI TENGGARA")</f>
        <v>JL. DIPONEGORO NO. 92-94 KENDARI, KELURAHAN BENU BENUA, KECAMATAN KENDARI BARAT, KOTA KENDARI, PROVINSI SULAWESI TENGGARA</v>
      </c>
      <c r="F33" s="7" t="str">
        <f ca="1">IFERROR(__xludf.DUMMYFUNCTION("""COMPUTED_VALUE"""),"PERSETUJUAN")</f>
        <v>PERSETUJUAN</v>
      </c>
      <c r="G33" s="7" t="str">
        <f ca="1">IFERROR(__xludf.DUMMYFUNCTION("""COMPUTED_VALUE"""),"BERUSAHA")</f>
        <v>BERUSAHA</v>
      </c>
      <c r="H33" s="7" t="str">
        <f ca="1">IFERROR(__xludf.DUMMYFUNCTION("""COMPUTED_VALUE"""),"SULAWESI TENGGARA")</f>
        <v>SULAWESI TENGGARA</v>
      </c>
      <c r="I33" s="7" t="str">
        <f ca="1">IFERROR(__xludf.DUMMYFUNCTION("""COMPUTED_VALUE"""),"LAUT BANDA")</f>
        <v>LAUT BANDA</v>
      </c>
      <c r="J33" s="7" t="str">
        <f ca="1">IFERROR(__xludf.DUMMYFUNCTION("""COMPUTED_VALUE"""),"TERMINAL UNTUK KEPENTINGAN SENDIRI (TUKS)")</f>
        <v>TERMINAL UNTUK KEPENTINGAN SENDIRI (TUKS)</v>
      </c>
      <c r="K33" s="7">
        <f ca="1">IFERROR(__xludf.DUMMYFUNCTION("""COMPUTED_VALUE"""),3.22)</f>
        <v>3.22</v>
      </c>
      <c r="L33" s="7" t="str">
        <f ca="1">IFERROR(__xludf.DUMMYFUNCTION("""COMPUTED_VALUE"""),"ha")</f>
        <v>ha</v>
      </c>
      <c r="M33" s="7"/>
      <c r="N33" s="7"/>
      <c r="O33" s="7" t="str">
        <f ca="1">IFERROR(__xludf.DUMMYFUNCTION("""COMPUTED_VALUE"""),"26012310517400002")</f>
        <v>26012310517400002</v>
      </c>
      <c r="P33" s="8">
        <f ca="1">IFERROR(__xludf.DUMMYFUNCTION("""COMPUTED_VALUE"""),44952)</f>
        <v>44952</v>
      </c>
      <c r="Q33" s="8">
        <f ca="1">IFERROR(__xludf.DUMMYFUNCTION("""COMPUTED_VALUE"""),45316)</f>
        <v>45316</v>
      </c>
      <c r="R33" s="7" t="str">
        <f ca="1">IFERROR(__xludf.DUMMYFUNCTION("""COMPUTED_VALUE"""),"Tepat Waktu")</f>
        <v>Tepat Waktu</v>
      </c>
      <c r="S33" s="8"/>
      <c r="T33" s="7" t="str">
        <f ca="1">IFERROR(__xludf.DUMMYFUNCTION("""COMPUTED_VALUE"""),"Tidak Menyampaikan Laporan")</f>
        <v>Tidak Menyampaikan Laporan</v>
      </c>
      <c r="U33" s="7"/>
      <c r="V33" s="7"/>
      <c r="W33" s="7"/>
      <c r="X33" s="7"/>
      <c r="Y33" s="7"/>
      <c r="Z33" s="7"/>
      <c r="AA33" s="7" t="str">
        <f ca="1">IFERROR(__xludf.DUMMYFUNCTION("""COMPUTED_VALUE"""),"SP1")</f>
        <v>SP1</v>
      </c>
      <c r="AB33" s="9" t="str">
        <f ca="1">IFERROR(__xludf.DUMMYFUNCTION("""COMPUTED_VALUE"""),"TIDAK MENYAMPAIKAN LAPORAN 2")</f>
        <v>TIDAK MENYAMPAIKAN LAPORAN 2</v>
      </c>
      <c r="AC33" s="9"/>
      <c r="AD33" s="9"/>
      <c r="AE33" s="9"/>
      <c r="AF33" s="7" t="str">
        <f ca="1">IFERROR(__xludf.DUMMYFUNCTION("""COMPUTED_VALUE"""),"BITUNG")</f>
        <v>BITUNG</v>
      </c>
      <c r="AG33" s="7"/>
      <c r="AH33" s="7"/>
      <c r="AI33" s="7"/>
      <c r="AJ33" s="7"/>
      <c r="AK33" s="6"/>
      <c r="AL33" s="6"/>
      <c r="AM33" s="6"/>
      <c r="AN33" s="6"/>
      <c r="AO33" s="6"/>
    </row>
    <row r="34" spans="1:41" ht="50.5" x14ac:dyDescent="0.3">
      <c r="A34" s="7">
        <f ca="1">IFERROR(__xludf.DUMMYFUNCTION("""COMPUTED_VALUE"""),649)</f>
        <v>649</v>
      </c>
      <c r="B34" s="7" t="str">
        <f ca="1">IFERROR(__xludf.DUMMYFUNCTION("""COMPUTED_VALUE"""),"23.13.00029")</f>
        <v>23.13.00029</v>
      </c>
      <c r="C34" s="7" t="str">
        <f ca="1">IFERROR(__xludf.DUMMYFUNCTION("""COMPUTED_VALUE"""),"PT BLUE BAY DIVERS")</f>
        <v>PT BLUE BAY DIVERS</v>
      </c>
      <c r="D34" s="7" t="str">
        <f ca="1">IFERROR(__xludf.DUMMYFUNCTION("""COMPUTED_VALUE"""),"")</f>
        <v/>
      </c>
      <c r="E34" s="7" t="str">
        <f ca="1">IFERROR(__xludf.DUMMYFUNCTION("""COMPUTED_VALUE"""),"PULAU SAHAUNG, , KABUPATEN MINAHASA UTARA, PROVINSI SULAWESI UTARA")</f>
        <v>PULAU SAHAUNG, , KABUPATEN MINAHASA UTARA, PROVINSI SULAWESI UTARA</v>
      </c>
      <c r="F34" s="7" t="str">
        <f ca="1">IFERROR(__xludf.DUMMYFUNCTION("""COMPUTED_VALUE"""),"PERSETUJUAN")</f>
        <v>PERSETUJUAN</v>
      </c>
      <c r="G34" s="7" t="str">
        <f ca="1">IFERROR(__xludf.DUMMYFUNCTION("""COMPUTED_VALUE"""),"BERUSAHA")</f>
        <v>BERUSAHA</v>
      </c>
      <c r="H34" s="7" t="str">
        <f ca="1">IFERROR(__xludf.DUMMYFUNCTION("""COMPUTED_VALUE"""),"GORONTALO")</f>
        <v>GORONTALO</v>
      </c>
      <c r="I34" s="7" t="str">
        <f ca="1">IFERROR(__xludf.DUMMYFUNCTION("""COMPUTED_VALUE"""),"TELUK KWANDANG")</f>
        <v>TELUK KWANDANG</v>
      </c>
      <c r="J34" s="7" t="str">
        <f ca="1">IFERROR(__xludf.DUMMYFUNCTION("""COMPUTED_VALUE"""),"DERMAGA PARIWISATA")</f>
        <v>DERMAGA PARIWISATA</v>
      </c>
      <c r="K34" s="7">
        <f ca="1">IFERROR(__xludf.DUMMYFUNCTION("""COMPUTED_VALUE"""),0.6)</f>
        <v>0.6</v>
      </c>
      <c r="L34" s="7" t="str">
        <f ca="1">IFERROR(__xludf.DUMMYFUNCTION("""COMPUTED_VALUE"""),"ha")</f>
        <v>ha</v>
      </c>
      <c r="M34" s="7"/>
      <c r="N34" s="7"/>
      <c r="O34" s="7" t="str">
        <f ca="1">IFERROR(__xludf.DUMMYFUNCTION("""COMPUTED_VALUE"""),"26012310517500002")</f>
        <v>26012310517500002</v>
      </c>
      <c r="P34" s="8">
        <f ca="1">IFERROR(__xludf.DUMMYFUNCTION("""COMPUTED_VALUE"""),44952)</f>
        <v>44952</v>
      </c>
      <c r="Q34" s="8">
        <f ca="1">IFERROR(__xludf.DUMMYFUNCTION("""COMPUTED_VALUE"""),45309)</f>
        <v>45309</v>
      </c>
      <c r="R34" s="7" t="str">
        <f ca="1">IFERROR(__xludf.DUMMYFUNCTION("""COMPUTED_VALUE"""),"Tepat Waktu")</f>
        <v>Tepat Waktu</v>
      </c>
      <c r="S34" s="7"/>
      <c r="T34" s="7" t="str">
        <f ca="1">IFERROR(__xludf.DUMMYFUNCTION("""COMPUTED_VALUE"""),"Tidak Menyampaikan Laporan")</f>
        <v>Tidak Menyampaikan Laporan</v>
      </c>
      <c r="U34" s="7"/>
      <c r="V34" s="7"/>
      <c r="W34" s="7"/>
      <c r="X34" s="7"/>
      <c r="Y34" s="7"/>
      <c r="Z34" s="7"/>
      <c r="AA34" s="7" t="str">
        <f ca="1">IFERROR(__xludf.DUMMYFUNCTION("""COMPUTED_VALUE"""),"SP1")</f>
        <v>SP1</v>
      </c>
      <c r="AB34" s="9" t="str">
        <f ca="1">IFERROR(__xludf.DUMMYFUNCTION("""COMPUTED_VALUE"""),"TIDAK MENYAMPAIKAN LAPORAN 2")</f>
        <v>TIDAK MENYAMPAIKAN LAPORAN 2</v>
      </c>
      <c r="AC34" s="9"/>
      <c r="AD34" s="9"/>
      <c r="AE34" s="11"/>
      <c r="AF34" s="7" t="str">
        <f ca="1">IFERROR(__xludf.DUMMYFUNCTION("""COMPUTED_VALUE"""),"BITUNG")</f>
        <v>BITUNG</v>
      </c>
      <c r="AG34" s="8"/>
      <c r="AH34" s="7"/>
      <c r="AI34" s="7"/>
      <c r="AJ34" s="7"/>
      <c r="AK34" s="6"/>
      <c r="AL34" s="6"/>
      <c r="AM34" s="6"/>
      <c r="AN34" s="6"/>
      <c r="AO34" s="6"/>
    </row>
    <row r="35" spans="1:41" ht="88" x14ac:dyDescent="0.3">
      <c r="A35" s="7">
        <f ca="1">IFERROR(__xludf.DUMMYFUNCTION("""COMPUTED_VALUE"""),659)</f>
        <v>659</v>
      </c>
      <c r="B35" s="7" t="str">
        <f ca="1">IFERROR(__xludf.DUMMYFUNCTION("""COMPUTED_VALUE"""),"23.13.00039")</f>
        <v>23.13.00039</v>
      </c>
      <c r="C35" s="7" t="str">
        <f ca="1">IFERROR(__xludf.DUMMYFUNCTION("""COMPUTED_VALUE"""),"PT GRAHA TAMBAK PINOTU")</f>
        <v>PT GRAHA TAMBAK PINOTU</v>
      </c>
      <c r="D35" s="7" t="str">
        <f ca="1">IFERROR(__xludf.DUMMYFUNCTION("""COMPUTED_VALUE"""),"08114502223 / grahatambakpinotu@gmail.com")</f>
        <v>08114502223 / grahatambakpinotu@gmail.com</v>
      </c>
      <c r="E35" s="7" t="str">
        <f ca="1">IFERROR(__xludf.DUMMYFUNCTION("""COMPUTED_VALUE"""),"JL. CHAIRIL ANWAR NO. 23, KELURAHAN BESUSU TIMUR, KECAMATAN PALU TIMUR, KOTA PALU, PROVINSI SULAWESI TENGAH")</f>
        <v>JL. CHAIRIL ANWAR NO. 23, KELURAHAN BESUSU TIMUR, KECAMATAN PALU TIMUR, KOTA PALU, PROVINSI SULAWESI TENGAH</v>
      </c>
      <c r="F35" s="7" t="str">
        <f ca="1">IFERROR(__xludf.DUMMYFUNCTION("""COMPUTED_VALUE"""),"PERSETUJUAN")</f>
        <v>PERSETUJUAN</v>
      </c>
      <c r="G35" s="7" t="str">
        <f ca="1">IFERROR(__xludf.DUMMYFUNCTION("""COMPUTED_VALUE"""),"BERUSAHA")</f>
        <v>BERUSAHA</v>
      </c>
      <c r="H35" s="7" t="str">
        <f ca="1">IFERROR(__xludf.DUMMYFUNCTION("""COMPUTED_VALUE"""),"SULAWESI TENGAH")</f>
        <v>SULAWESI TENGAH</v>
      </c>
      <c r="I35" s="7" t="str">
        <f ca="1">IFERROR(__xludf.DUMMYFUNCTION("""COMPUTED_VALUE"""),"TELUK TOMINI")</f>
        <v>TELUK TOMINI</v>
      </c>
      <c r="J35" s="7" t="str">
        <f ca="1">IFERROR(__xludf.DUMMYFUNCTION("""COMPUTED_VALUE"""),"PEMASANGAN INSTALASI PERIKANAN")</f>
        <v>PEMASANGAN INSTALASI PERIKANAN</v>
      </c>
      <c r="K35" s="7">
        <f ca="1">IFERROR(__xludf.DUMMYFUNCTION("""COMPUTED_VALUE"""),0.51)</f>
        <v>0.51</v>
      </c>
      <c r="L35" s="7" t="str">
        <f ca="1">IFERROR(__xludf.DUMMYFUNCTION("""COMPUTED_VALUE"""),"ha")</f>
        <v>ha</v>
      </c>
      <c r="M35" s="7"/>
      <c r="N35" s="7"/>
      <c r="O35" s="7" t="str">
        <f ca="1">IFERROR(__xludf.DUMMYFUNCTION("""COMPUTED_VALUE"""),"02022310517200001")</f>
        <v>02022310517200001</v>
      </c>
      <c r="P35" s="8">
        <f ca="1">IFERROR(__xludf.DUMMYFUNCTION("""COMPUTED_VALUE"""),44959)</f>
        <v>44959</v>
      </c>
      <c r="Q35" s="7"/>
      <c r="R35" s="7" t="str">
        <f ca="1">IFERROR(__xludf.DUMMYFUNCTION("""COMPUTED_VALUE"""),"Tidak Menyampaikan Laporan")</f>
        <v>Tidak Menyampaikan Laporan</v>
      </c>
      <c r="S35" s="7"/>
      <c r="T35" s="7" t="str">
        <f ca="1">IFERROR(__xludf.DUMMYFUNCTION("""COMPUTED_VALUE"""),"Tidak Menyampaikan Laporan")</f>
        <v>Tidak Menyampaikan Laporan</v>
      </c>
      <c r="U35" s="7"/>
      <c r="V35" s="7"/>
      <c r="W35" s="7"/>
      <c r="X35" s="7"/>
      <c r="Y35" s="7"/>
      <c r="Z35" s="7"/>
      <c r="AA35" s="7" t="str">
        <f ca="1">IFERROR(__xludf.DUMMYFUNCTION("""COMPUTED_VALUE"""),"SP1")</f>
        <v>SP1</v>
      </c>
      <c r="AB35" s="9" t="str">
        <f ca="1">IFERROR(__xludf.DUMMYFUNCTION("""COMPUTED_VALUE"""),"TIDAK MENYAMPAIKAN LAPORAN 1; TIDAK MENYAMPAIKAN LAPORAN 2")</f>
        <v>TIDAK MENYAMPAIKAN LAPORAN 1; TIDAK MENYAMPAIKAN LAPORAN 2</v>
      </c>
      <c r="AC35" s="9"/>
      <c r="AD35" s="9"/>
      <c r="AE35" s="9"/>
      <c r="AF35" s="7" t="str">
        <f ca="1">IFERROR(__xludf.DUMMYFUNCTION("""COMPUTED_VALUE"""),"BITUNG")</f>
        <v>BITUNG</v>
      </c>
      <c r="AG35" s="7"/>
      <c r="AH35" s="7"/>
      <c r="AI35" s="7"/>
      <c r="AJ35" s="7"/>
      <c r="AK35" s="6"/>
      <c r="AL35" s="6"/>
      <c r="AM35" s="6"/>
      <c r="AN35" s="6"/>
      <c r="AO35" s="6"/>
    </row>
    <row r="36" spans="1:41" ht="88" x14ac:dyDescent="0.3">
      <c r="A36" s="7">
        <f ca="1">IFERROR(__xludf.DUMMYFUNCTION("""COMPUTED_VALUE"""),660)</f>
        <v>660</v>
      </c>
      <c r="B36" s="7" t="str">
        <f ca="1">IFERROR(__xludf.DUMMYFUNCTION("""COMPUTED_VALUE"""),"23.13.00062")</f>
        <v>23.13.00062</v>
      </c>
      <c r="C36" s="7" t="str">
        <f ca="1">IFERROR(__xludf.DUMMYFUNCTION("""COMPUTED_VALUE"""),"PT TAMBANG MINERAL MAJU")</f>
        <v>PT TAMBANG MINERAL MAJU</v>
      </c>
      <c r="D36" s="7" t="str">
        <f ca="1">IFERROR(__xludf.DUMMYFUNCTION("""COMPUTED_VALUE"""),"08119557377 / pttambangmineralmaju@gmail.com")</f>
        <v>08119557377 / pttambangmineralmaju@gmail.com</v>
      </c>
      <c r="E36" s="7" t="str">
        <f ca="1">IFERROR(__xludf.DUMMYFUNCTION("""COMPUTED_VALUE"""),"THE BOULEVARD 6TH UNIT B1-B2, JL. FACHRUDIN NO. 5, KELURAHAN KAMPUNG BALI, KECAMATAN TANAH ABANG, KOTA JAKARTA PUSAT, PROVINSI DKI JAKARTA")</f>
        <v>THE BOULEVARD 6TH UNIT B1-B2, JL. FACHRUDIN NO. 5, KELURAHAN KAMPUNG BALI, KECAMATAN TANAH ABANG, KOTA JAKARTA PUSAT, PROVINSI DKI JAKARTA</v>
      </c>
      <c r="F36" s="7" t="str">
        <f ca="1">IFERROR(__xludf.DUMMYFUNCTION("""COMPUTED_VALUE"""),"PERSETUJUAN")</f>
        <v>PERSETUJUAN</v>
      </c>
      <c r="G36" s="7" t="str">
        <f ca="1">IFERROR(__xludf.DUMMYFUNCTION("""COMPUTED_VALUE"""),"BERUSAHA")</f>
        <v>BERUSAHA</v>
      </c>
      <c r="H36" s="7" t="str">
        <f ca="1">IFERROR(__xludf.DUMMYFUNCTION("""COMPUTED_VALUE"""),"SULAWESI TENGGARA")</f>
        <v>SULAWESI TENGGARA</v>
      </c>
      <c r="I36" s="7" t="str">
        <f ca="1">IFERROR(__xludf.DUMMYFUNCTION("""COMPUTED_VALUE"""),"TELUK BONE")</f>
        <v>TELUK BONE</v>
      </c>
      <c r="J36" s="7" t="str">
        <f ca="1">IFERROR(__xludf.DUMMYFUNCTION("""COMPUTED_VALUE"""),"PEMBANGUNAN TERMINAL KHUSUS")</f>
        <v>PEMBANGUNAN TERMINAL KHUSUS</v>
      </c>
      <c r="K36" s="7">
        <f ca="1">IFERROR(__xludf.DUMMYFUNCTION("""COMPUTED_VALUE"""),13.61)</f>
        <v>13.61</v>
      </c>
      <c r="L36" s="7" t="str">
        <f ca="1">IFERROR(__xludf.DUMMYFUNCTION("""COMPUTED_VALUE"""),"ha")</f>
        <v>ha</v>
      </c>
      <c r="M36" s="7"/>
      <c r="N36" s="7"/>
      <c r="O36" s="7" t="str">
        <f ca="1">IFERROR(__xludf.DUMMYFUNCTION("""COMPUTED_VALUE"""),"02022310517400003")</f>
        <v>02022310517400003</v>
      </c>
      <c r="P36" s="8">
        <f ca="1">IFERROR(__xludf.DUMMYFUNCTION("""COMPUTED_VALUE"""),44959)</f>
        <v>44959</v>
      </c>
      <c r="Q36" s="8"/>
      <c r="R36" s="7" t="str">
        <f ca="1">IFERROR(__xludf.DUMMYFUNCTION("""COMPUTED_VALUE"""),"Tidak Menyampaikan Laporan")</f>
        <v>Tidak Menyampaikan Laporan</v>
      </c>
      <c r="S36" s="7"/>
      <c r="T36" s="7" t="str">
        <f ca="1">IFERROR(__xludf.DUMMYFUNCTION("""COMPUTED_VALUE"""),"Tidak Menyampaikan Laporan")</f>
        <v>Tidak Menyampaikan Laporan</v>
      </c>
      <c r="U36" s="7"/>
      <c r="V36" s="7"/>
      <c r="W36" s="7"/>
      <c r="X36" s="7"/>
      <c r="Y36" s="7"/>
      <c r="Z36" s="7"/>
      <c r="AA36" s="7" t="str">
        <f ca="1">IFERROR(__xludf.DUMMYFUNCTION("""COMPUTED_VALUE"""),"SP1")</f>
        <v>SP1</v>
      </c>
      <c r="AB36" s="9" t="str">
        <f ca="1">IFERROR(__xludf.DUMMYFUNCTION("""COMPUTED_VALUE"""),"TIDAK MENYAMPAIKAN LAPORAN 1; TIDAK MENYAMPAIKAN LAPORAN 2")</f>
        <v>TIDAK MENYAMPAIKAN LAPORAN 1; TIDAK MENYAMPAIKAN LAPORAN 2</v>
      </c>
      <c r="AC36" s="9"/>
      <c r="AD36" s="9"/>
      <c r="AE36" s="11"/>
      <c r="AF36" s="7" t="str">
        <f ca="1">IFERROR(__xludf.DUMMYFUNCTION("""COMPUTED_VALUE"""),"BITUNG")</f>
        <v>BITUNG</v>
      </c>
      <c r="AG36" s="7" t="str">
        <f ca="1">IFERROR(__xludf.DUMMYFUNCTION("""COMPUTED_VALUE"""),"SP2")</f>
        <v>SP2</v>
      </c>
      <c r="AH36" s="7"/>
      <c r="AI36" s="7"/>
      <c r="AJ36" s="7"/>
      <c r="AK36" s="6"/>
      <c r="AL36" s="6"/>
      <c r="AM36" s="6"/>
      <c r="AN36" s="6"/>
      <c r="AO36" s="6"/>
    </row>
    <row r="37" spans="1:41" ht="25.5" x14ac:dyDescent="0.3">
      <c r="A37" s="7">
        <f ca="1">IFERROR(__xludf.DUMMYFUNCTION("""COMPUTED_VALUE"""),697)</f>
        <v>697</v>
      </c>
      <c r="B37" s="7" t="str">
        <f ca="1">IFERROR(__xludf.DUMMYFUNCTION("""COMPUTED_VALUE"""),"23.13.00102")</f>
        <v>23.13.00102</v>
      </c>
      <c r="C37" s="7" t="str">
        <f ca="1">IFERROR(__xludf.DUMMYFUNCTION("""COMPUTED_VALUE"""),"PT BUMI DUA MINERAL")</f>
        <v>PT BUMI DUA MINERAL</v>
      </c>
      <c r="D37" s="7" t="str">
        <f ca="1">IFERROR(__xludf.DUMMYFUNCTION("""COMPUTED_VALUE"""),"")</f>
        <v/>
      </c>
      <c r="E37" s="7" t="str">
        <f ca="1">IFERROR(__xludf.DUMMYFUNCTION("""COMPUTED_VALUE"""),"KOMPLEKS CITRALAND RUKO CORRIDOR RK K01/008, , KOTA KENDARI, PROVINSI SULAWESI TENGGARA")</f>
        <v>KOMPLEKS CITRALAND RUKO CORRIDOR RK K01/008, , KOTA KENDARI, PROVINSI SULAWESI TENGGARA</v>
      </c>
      <c r="F37" s="7" t="str">
        <f ca="1">IFERROR(__xludf.DUMMYFUNCTION("""COMPUTED_VALUE"""),"PERSETUJUAN")</f>
        <v>PERSETUJUAN</v>
      </c>
      <c r="G37" s="7" t="str">
        <f ca="1">IFERROR(__xludf.DUMMYFUNCTION("""COMPUTED_VALUE"""),"BERUSAHA")</f>
        <v>BERUSAHA</v>
      </c>
      <c r="H37" s="7" t="str">
        <f ca="1">IFERROR(__xludf.DUMMYFUNCTION("""COMPUTED_VALUE"""),"SULAWESI TENGGARA")</f>
        <v>SULAWESI TENGGARA</v>
      </c>
      <c r="I37" s="7" t="str">
        <f ca="1">IFERROR(__xludf.DUMMYFUNCTION("""COMPUTED_VALUE"""),"TELUK BONE")</f>
        <v>TELUK BONE</v>
      </c>
      <c r="J37" s="7" t="str">
        <f ca="1">IFERROR(__xludf.DUMMYFUNCTION("""COMPUTED_VALUE"""),"PEMBANGUNAN TERMINAL KHUSUS")</f>
        <v>PEMBANGUNAN TERMINAL KHUSUS</v>
      </c>
      <c r="K37" s="7">
        <f ca="1">IFERROR(__xludf.DUMMYFUNCTION("""COMPUTED_VALUE"""),18.08)</f>
        <v>18.079999999999998</v>
      </c>
      <c r="L37" s="7" t="str">
        <f ca="1">IFERROR(__xludf.DUMMYFUNCTION("""COMPUTED_VALUE"""),"ha")</f>
        <v>ha</v>
      </c>
      <c r="M37" s="7"/>
      <c r="N37" s="7"/>
      <c r="O37" s="7" t="str">
        <f ca="1">IFERROR(__xludf.DUMMYFUNCTION("""COMPUTED_VALUE"""),"27022310517400001")</f>
        <v>27022310517400001</v>
      </c>
      <c r="P37" s="8">
        <f ca="1">IFERROR(__xludf.DUMMYFUNCTION("""COMPUTED_VALUE"""),44984)</f>
        <v>44984</v>
      </c>
      <c r="Q37" s="8">
        <f ca="1">IFERROR(__xludf.DUMMYFUNCTION("""COMPUTED_VALUE"""),45406)</f>
        <v>45406</v>
      </c>
      <c r="R37" s="7" t="str">
        <f ca="1">IFERROR(__xludf.DUMMYFUNCTION("""COMPUTED_VALUE"""),"Terlambat")</f>
        <v>Terlambat</v>
      </c>
      <c r="S37" s="8">
        <f ca="1">IFERROR(__xludf.DUMMYFUNCTION("""COMPUTED_VALUE"""),45694)</f>
        <v>45694</v>
      </c>
      <c r="T37" s="7" t="str">
        <f ca="1">IFERROR(__xludf.DUMMYFUNCTION("""COMPUTED_VALUE"""),"Tepat Waktu")</f>
        <v>Tepat Waktu</v>
      </c>
      <c r="U37" s="7"/>
      <c r="V37" s="7"/>
      <c r="W37" s="7"/>
      <c r="X37" s="7"/>
      <c r="Y37" s="7"/>
      <c r="Z37" s="7"/>
      <c r="AA37" s="7" t="str">
        <f ca="1">IFERROR(__xludf.DUMMYFUNCTION("""COMPUTED_VALUE"""),"SP1")</f>
        <v>SP1</v>
      </c>
      <c r="AB37" s="9" t="str">
        <f ca="1">IFERROR(__xludf.DUMMYFUNCTION("""COMPUTED_VALUE"""),"LAPORAN 1 TERLAMBAT")</f>
        <v>LAPORAN 1 TERLAMBAT</v>
      </c>
      <c r="AC37" s="9"/>
      <c r="AD37" s="9"/>
      <c r="AE37" s="11"/>
      <c r="AF37" s="7" t="str">
        <f ca="1">IFERROR(__xludf.DUMMYFUNCTION("""COMPUTED_VALUE"""),"BITUNG")</f>
        <v>BITUNG</v>
      </c>
      <c r="AG37" s="7" t="str">
        <f ca="1">IFERROR(__xludf.DUMMYFUNCTION("""COMPUTED_VALUE"""),"SP2")</f>
        <v>SP2</v>
      </c>
      <c r="AH37" s="7"/>
      <c r="AI37" s="7"/>
      <c r="AJ37" s="7"/>
      <c r="AK37" s="6"/>
      <c r="AL37" s="6"/>
      <c r="AM37" s="6"/>
      <c r="AN37" s="6"/>
      <c r="AO37" s="6"/>
    </row>
    <row r="38" spans="1:41" ht="50.5" x14ac:dyDescent="0.3">
      <c r="A38" s="7">
        <f ca="1">IFERROR(__xludf.DUMMYFUNCTION("""COMPUTED_VALUE"""),717)</f>
        <v>717</v>
      </c>
      <c r="B38" s="7" t="str">
        <f ca="1">IFERROR(__xludf.DUMMYFUNCTION("""COMPUTED_VALUE"""),"23.13.00114")</f>
        <v>23.13.00114</v>
      </c>
      <c r="C38" s="7" t="str">
        <f ca="1">IFERROR(__xludf.DUMMYFUNCTION("""COMPUTED_VALUE"""),"PT BUKIT MAKMUR RESOURCES")</f>
        <v>PT BUKIT MAKMUR RESOURCES</v>
      </c>
      <c r="D38" s="7" t="str">
        <f ca="1">IFERROR(__xludf.DUMMYFUNCTION("""COMPUTED_VALUE"""),"")</f>
        <v/>
      </c>
      <c r="E38" s="7" t="str">
        <f ca="1">IFERROR(__xludf.DUMMYFUNCTION("""COMPUTED_VALUE"""),"DESA MAPILA DAN DESA WUMBULASA, KABUPATEN BOMBANA, PROVINSI SULAWESI TENGGARA")</f>
        <v>DESA MAPILA DAN DESA WUMBULASA, KABUPATEN BOMBANA, PROVINSI SULAWESI TENGGARA</v>
      </c>
      <c r="F38" s="7" t="str">
        <f ca="1">IFERROR(__xludf.DUMMYFUNCTION("""COMPUTED_VALUE"""),"PERSETUJUAN")</f>
        <v>PERSETUJUAN</v>
      </c>
      <c r="G38" s="7" t="str">
        <f ca="1">IFERROR(__xludf.DUMMYFUNCTION("""COMPUTED_VALUE"""),"BERUSAHA")</f>
        <v>BERUSAHA</v>
      </c>
      <c r="H38" s="7" t="str">
        <f ca="1">IFERROR(__xludf.DUMMYFUNCTION("""COMPUTED_VALUE"""),"SULAWESI TENGGARA")</f>
        <v>SULAWESI TENGGARA</v>
      </c>
      <c r="I38" s="7" t="str">
        <f ca="1">IFERROR(__xludf.DUMMYFUNCTION("""COMPUTED_VALUE"""),"LAUT BANDA")</f>
        <v>LAUT BANDA</v>
      </c>
      <c r="J38" s="7" t="str">
        <f ca="1">IFERROR(__xludf.DUMMYFUNCTION("""COMPUTED_VALUE"""),"PEMBANGUNAN TERMINAL KHUSUS DENGAN REKLAMASI")</f>
        <v>PEMBANGUNAN TERMINAL KHUSUS DENGAN REKLAMASI</v>
      </c>
      <c r="K38" s="7">
        <f ca="1">IFERROR(__xludf.DUMMYFUNCTION("""COMPUTED_VALUE"""),3.12)</f>
        <v>3.12</v>
      </c>
      <c r="L38" s="7" t="str">
        <f ca="1">IFERROR(__xludf.DUMMYFUNCTION("""COMPUTED_VALUE"""),"ha")</f>
        <v>ha</v>
      </c>
      <c r="M38" s="7"/>
      <c r="N38" s="7"/>
      <c r="O38" s="7" t="str">
        <f ca="1">IFERROR(__xludf.DUMMYFUNCTION("""COMPUTED_VALUE"""),"08032310517400001")</f>
        <v>08032310517400001</v>
      </c>
      <c r="P38" s="8">
        <f ca="1">IFERROR(__xludf.DUMMYFUNCTION("""COMPUTED_VALUE"""),44993)</f>
        <v>44993</v>
      </c>
      <c r="Q38" s="8">
        <f ca="1">IFERROR(__xludf.DUMMYFUNCTION("""COMPUTED_VALUE"""),45357)</f>
        <v>45357</v>
      </c>
      <c r="R38" s="7" t="str">
        <f ca="1">IFERROR(__xludf.DUMMYFUNCTION("""COMPUTED_VALUE"""),"Tepat Waktu")</f>
        <v>Tepat Waktu</v>
      </c>
      <c r="S38" s="7"/>
      <c r="T38" s="7" t="str">
        <f ca="1">IFERROR(__xludf.DUMMYFUNCTION("""COMPUTED_VALUE"""),"Tidak Menyampaikan Laporan")</f>
        <v>Tidak Menyampaikan Laporan</v>
      </c>
      <c r="U38" s="7"/>
      <c r="V38" s="7"/>
      <c r="W38" s="7"/>
      <c r="X38" s="7"/>
      <c r="Y38" s="7"/>
      <c r="Z38" s="7"/>
      <c r="AA38" s="7" t="str">
        <f ca="1">IFERROR(__xludf.DUMMYFUNCTION("""COMPUTED_VALUE"""),"SP1")</f>
        <v>SP1</v>
      </c>
      <c r="AB38" s="9" t="str">
        <f ca="1">IFERROR(__xludf.DUMMYFUNCTION("""COMPUTED_VALUE"""),"TIDAK MENYAMPAIKAN LAPORAN 2")</f>
        <v>TIDAK MENYAMPAIKAN LAPORAN 2</v>
      </c>
      <c r="AC38" s="9"/>
      <c r="AD38" s="9"/>
      <c r="AE38" s="11"/>
      <c r="AF38" s="7" t="str">
        <f ca="1">IFERROR(__xludf.DUMMYFUNCTION("""COMPUTED_VALUE"""),"BITUNG")</f>
        <v>BITUNG</v>
      </c>
      <c r="AG38" s="8"/>
      <c r="AH38" s="7"/>
      <c r="AI38" s="7"/>
      <c r="AJ38" s="7"/>
      <c r="AK38" s="6"/>
      <c r="AL38" s="6"/>
      <c r="AM38" s="6"/>
      <c r="AN38" s="6"/>
      <c r="AO38" s="6"/>
    </row>
    <row r="39" spans="1:41" ht="88" x14ac:dyDescent="0.3">
      <c r="A39" s="7">
        <f ca="1">IFERROR(__xludf.DUMMYFUNCTION("""COMPUTED_VALUE"""),722)</f>
        <v>722</v>
      </c>
      <c r="B39" s="7" t="str">
        <f ca="1">IFERROR(__xludf.DUMMYFUNCTION("""COMPUTED_VALUE"""),"23.13.00103")</f>
        <v>23.13.00103</v>
      </c>
      <c r="C39" s="7" t="str">
        <f ca="1">IFERROR(__xludf.DUMMYFUNCTION("""COMPUTED_VALUE"""),"PT GUNA SAKTI MINERALCO")</f>
        <v>PT GUNA SAKTI MINERALCO</v>
      </c>
      <c r="D39" s="7"/>
      <c r="E39" s="7" t="str">
        <f ca="1">IFERROR(__xludf.DUMMYFUNCTION("""COMPUTED_VALUE"""),"RUKO ELOK BIZZ UNIT A , JL. CAWANG BARU NO. 21 , KELURAHAN BIDARA CINA, KECAMATAN JATINEGARA, KOTA JAKARTA TIMUR, PROVINSI DKI JAKARTA")</f>
        <v>RUKO ELOK BIZZ UNIT A , JL. CAWANG BARU NO. 21 , KELURAHAN BIDARA CINA, KECAMATAN JATINEGARA, KOTA JAKARTA TIMUR, PROVINSI DKI JAKARTA</v>
      </c>
      <c r="F39" s="7" t="str">
        <f ca="1">IFERROR(__xludf.DUMMYFUNCTION("""COMPUTED_VALUE"""),"PERSETUJUAN")</f>
        <v>PERSETUJUAN</v>
      </c>
      <c r="G39" s="7" t="str">
        <f ca="1">IFERROR(__xludf.DUMMYFUNCTION("""COMPUTED_VALUE"""),"BERUSAHA")</f>
        <v>BERUSAHA</v>
      </c>
      <c r="H39" s="7" t="str">
        <f ca="1">IFERROR(__xludf.DUMMYFUNCTION("""COMPUTED_VALUE"""),"SULAWESI TENGGARA")</f>
        <v>SULAWESI TENGGARA</v>
      </c>
      <c r="I39" s="7" t="str">
        <f ca="1">IFERROR(__xludf.DUMMYFUNCTION("""COMPUTED_VALUE"""),"TELUK BONE")</f>
        <v>TELUK BONE</v>
      </c>
      <c r="J39" s="7" t="str">
        <f ca="1">IFERROR(__xludf.DUMMYFUNCTION("""COMPUTED_VALUE"""),"PEMBANGUNAN TERMINAL KHUSUS")</f>
        <v>PEMBANGUNAN TERMINAL KHUSUS</v>
      </c>
      <c r="K39" s="7">
        <f ca="1">IFERROR(__xludf.DUMMYFUNCTION("""COMPUTED_VALUE"""),1.85)</f>
        <v>1.85</v>
      </c>
      <c r="L39" s="7" t="str">
        <f ca="1">IFERROR(__xludf.DUMMYFUNCTION("""COMPUTED_VALUE"""),"ha")</f>
        <v>ha</v>
      </c>
      <c r="M39" s="7"/>
      <c r="N39" s="7"/>
      <c r="O39" s="7" t="str">
        <f ca="1">IFERROR(__xludf.DUMMYFUNCTION("""COMPUTED_VALUE"""),"16032310517400002")</f>
        <v>16032310517400002</v>
      </c>
      <c r="P39" s="8">
        <f ca="1">IFERROR(__xludf.DUMMYFUNCTION("""COMPUTED_VALUE"""),45001)</f>
        <v>45001</v>
      </c>
      <c r="Q39" s="7"/>
      <c r="R39" s="7" t="str">
        <f ca="1">IFERROR(__xludf.DUMMYFUNCTION("""COMPUTED_VALUE"""),"Tidak Menyampaikan Laporan")</f>
        <v>Tidak Menyampaikan Laporan</v>
      </c>
      <c r="S39" s="7"/>
      <c r="T39" s="7" t="str">
        <f ca="1">IFERROR(__xludf.DUMMYFUNCTION("""COMPUTED_VALUE"""),"Tidak Menyampaikan Laporan")</f>
        <v>Tidak Menyampaikan Laporan</v>
      </c>
      <c r="U39" s="7"/>
      <c r="V39" s="7"/>
      <c r="W39" s="7"/>
      <c r="X39" s="7"/>
      <c r="Y39" s="7"/>
      <c r="Z39" s="7"/>
      <c r="AA39" s="7" t="str">
        <f ca="1">IFERROR(__xludf.DUMMYFUNCTION("""COMPUTED_VALUE"""),"SP1")</f>
        <v>SP1</v>
      </c>
      <c r="AB39" s="9" t="str">
        <f ca="1">IFERROR(__xludf.DUMMYFUNCTION("""COMPUTED_VALUE"""),"TIDAK MENYAMPAIKAN LAPORAN 1; TIDAK MENYAMPAIKAN LAPORAN 2")</f>
        <v>TIDAK MENYAMPAIKAN LAPORAN 1; TIDAK MENYAMPAIKAN LAPORAN 2</v>
      </c>
      <c r="AC39" s="9"/>
      <c r="AD39" s="9"/>
      <c r="AE39" s="9"/>
      <c r="AF39" s="7" t="str">
        <f ca="1">IFERROR(__xludf.DUMMYFUNCTION("""COMPUTED_VALUE"""),"BITUNG")</f>
        <v>BITUNG</v>
      </c>
      <c r="AG39" s="7"/>
      <c r="AH39" s="7"/>
      <c r="AI39" s="7"/>
      <c r="AJ39" s="7"/>
      <c r="AK39" s="6"/>
      <c r="AL39" s="6"/>
      <c r="AM39" s="6"/>
      <c r="AN39" s="6"/>
      <c r="AO39" s="6"/>
    </row>
    <row r="40" spans="1:41" ht="50.5" x14ac:dyDescent="0.3">
      <c r="A40" s="7">
        <f ca="1">IFERROR(__xludf.DUMMYFUNCTION("""COMPUTED_VALUE"""),762)</f>
        <v>762</v>
      </c>
      <c r="B40" s="7" t="str">
        <f ca="1">IFERROR(__xludf.DUMMYFUNCTION("""COMPUTED_VALUE"""),"23.13.00154")</f>
        <v>23.13.00154</v>
      </c>
      <c r="C40" s="7" t="str">
        <f ca="1">IFERROR(__xludf.DUMMYFUNCTION("""COMPUTED_VALUE"""),"PT WANGGUDU SUMBER MINERAL")</f>
        <v>PT WANGGUDU SUMBER MINERAL</v>
      </c>
      <c r="D40" s="7" t="str">
        <f ca="1">IFERROR(__xludf.DUMMYFUNCTION("""COMPUTED_VALUE"""),"")</f>
        <v/>
      </c>
      <c r="E40" s="7" t="str">
        <f ca="1">IFERROR(__xludf.DUMMYFUNCTION("""COMPUTED_VALUE"""),"JL. SULTAN HASANUDDIN NO. 67, KELURAHAN TIPULU, KECAMATAN KENDARI BARAT, KOTA KENDARI, PROVINSI SULAWESI TENGGARA")</f>
        <v>JL. SULTAN HASANUDDIN NO. 67, KELURAHAN TIPULU, KECAMATAN KENDARI BARAT, KOTA KENDARI, PROVINSI SULAWESI TENGGARA</v>
      </c>
      <c r="F40" s="7" t="str">
        <f ca="1">IFERROR(__xludf.DUMMYFUNCTION("""COMPUTED_VALUE"""),"PERSETUJUAN")</f>
        <v>PERSETUJUAN</v>
      </c>
      <c r="G40" s="7" t="str">
        <f ca="1">IFERROR(__xludf.DUMMYFUNCTION("""COMPUTED_VALUE"""),"BERUSAHA")</f>
        <v>BERUSAHA</v>
      </c>
      <c r="H40" s="7" t="str">
        <f ca="1">IFERROR(__xludf.DUMMYFUNCTION("""COMPUTED_VALUE"""),"SULAWESI TENGGARA")</f>
        <v>SULAWESI TENGGARA</v>
      </c>
      <c r="I40" s="7" t="str">
        <f ca="1">IFERROR(__xludf.DUMMYFUNCTION("""COMPUTED_VALUE"""),"LAUT BANDA")</f>
        <v>LAUT BANDA</v>
      </c>
      <c r="J40" s="7" t="str">
        <f ca="1">IFERROR(__xludf.DUMMYFUNCTION("""COMPUTED_VALUE"""),"PEMBANGUNAN TERMINAL KHUSUS")</f>
        <v>PEMBANGUNAN TERMINAL KHUSUS</v>
      </c>
      <c r="K40" s="7">
        <f ca="1">IFERROR(__xludf.DUMMYFUNCTION("""COMPUTED_VALUE"""),4.05)</f>
        <v>4.05</v>
      </c>
      <c r="L40" s="7" t="str">
        <f ca="1">IFERROR(__xludf.DUMMYFUNCTION("""COMPUTED_VALUE"""),"ha")</f>
        <v>ha</v>
      </c>
      <c r="M40" s="7"/>
      <c r="N40" s="7"/>
      <c r="O40" s="7" t="str">
        <f ca="1">IFERROR(__xludf.DUMMYFUNCTION("""COMPUTED_VALUE"""),"10042310517400003")</f>
        <v>10042310517400003</v>
      </c>
      <c r="P40" s="8">
        <f ca="1">IFERROR(__xludf.DUMMYFUNCTION("""COMPUTED_VALUE"""),45026)</f>
        <v>45026</v>
      </c>
      <c r="Q40" s="8">
        <f ca="1">IFERROR(__xludf.DUMMYFUNCTION("""COMPUTED_VALUE"""),45384)</f>
        <v>45384</v>
      </c>
      <c r="R40" s="7" t="str">
        <f ca="1">IFERROR(__xludf.DUMMYFUNCTION("""COMPUTED_VALUE"""),"Tepat Waktu")</f>
        <v>Tepat Waktu</v>
      </c>
      <c r="S40" s="7"/>
      <c r="T40" s="7" t="str">
        <f ca="1">IFERROR(__xludf.DUMMYFUNCTION("""COMPUTED_VALUE"""),"Tidak Menyampaikan Laporan")</f>
        <v>Tidak Menyampaikan Laporan</v>
      </c>
      <c r="U40" s="7"/>
      <c r="V40" s="7"/>
      <c r="W40" s="7"/>
      <c r="X40" s="7"/>
      <c r="Y40" s="7"/>
      <c r="Z40" s="7"/>
      <c r="AA40" s="7" t="str">
        <f ca="1">IFERROR(__xludf.DUMMYFUNCTION("""COMPUTED_VALUE"""),"SP1")</f>
        <v>SP1</v>
      </c>
      <c r="AB40" s="9" t="str">
        <f ca="1">IFERROR(__xludf.DUMMYFUNCTION("""COMPUTED_VALUE"""),"TIDAK MENYAMPAIKAN LAPORAN 2")</f>
        <v>TIDAK MENYAMPAIKAN LAPORAN 2</v>
      </c>
      <c r="AC40" s="9"/>
      <c r="AD40" s="9"/>
      <c r="AE40" s="11"/>
      <c r="AF40" s="7" t="str">
        <f ca="1">IFERROR(__xludf.DUMMYFUNCTION("""COMPUTED_VALUE"""),"BITUNG")</f>
        <v>BITUNG</v>
      </c>
      <c r="AG40" s="8"/>
      <c r="AH40" s="7"/>
      <c r="AI40" s="7"/>
      <c r="AJ40" s="7"/>
      <c r="AK40" s="6"/>
      <c r="AL40" s="6"/>
      <c r="AM40" s="6"/>
      <c r="AN40" s="6"/>
      <c r="AO40" s="6"/>
    </row>
    <row r="41" spans="1:41" ht="25.5" x14ac:dyDescent="0.3">
      <c r="A41" s="7">
        <f ca="1">IFERROR(__xludf.DUMMYFUNCTION("""COMPUTED_VALUE"""),813)</f>
        <v>813</v>
      </c>
      <c r="B41" s="7" t="str">
        <f ca="1">IFERROR(__xludf.DUMMYFUNCTION("""COMPUTED_VALUE"""),"23.13.00211")</f>
        <v>23.13.00211</v>
      </c>
      <c r="C41" s="7" t="str">
        <f ca="1">IFERROR(__xludf.DUMMYFUNCTION("""COMPUTED_VALUE"""),"PT VIRTUE DRAGON NICKEL INDUSTRIAL PARK")</f>
        <v>PT VIRTUE DRAGON NICKEL INDUSTRIAL PARK</v>
      </c>
      <c r="D41" s="7" t="str">
        <f ca="1">IFERROR(__xludf.DUMMYFUNCTION("""COMPUTED_VALUE"""),"")</f>
        <v/>
      </c>
      <c r="E41" s="7" t="str">
        <f ca="1">IFERROR(__xludf.DUMMYFUNCTION("""COMPUTED_VALUE"""),"INDONESIA STOCK EXCHANGE BUILDING TOWER 1 LT. 29 SUITE 2903 SCBD, JL. JENDERAL SUDIRMAN KAV 52-53, KELURAHAN SENAYAN, KECAMATAN KEBAYORAN BARU, KOTA JAKARTA SELATAN, PROVINSI DKI JAKARTA")</f>
        <v>INDONESIA STOCK EXCHANGE BUILDING TOWER 1 LT. 29 SUITE 2903 SCBD, JL. JENDERAL SUDIRMAN KAV 52-53, KELURAHAN SENAYAN, KECAMATAN KEBAYORAN BARU, KOTA JAKARTA SELATAN, PROVINSI DKI JAKARTA</v>
      </c>
      <c r="F41" s="7" t="str">
        <f ca="1">IFERROR(__xludf.DUMMYFUNCTION("""COMPUTED_VALUE"""),"PERSETUJUAN")</f>
        <v>PERSETUJUAN</v>
      </c>
      <c r="G41" s="7" t="str">
        <f ca="1">IFERROR(__xludf.DUMMYFUNCTION("""COMPUTED_VALUE"""),"BERUSAHA")</f>
        <v>BERUSAHA</v>
      </c>
      <c r="H41" s="7" t="str">
        <f ca="1">IFERROR(__xludf.DUMMYFUNCTION("""COMPUTED_VALUE"""),"SULAWESI TENGGARA")</f>
        <v>SULAWESI TENGGARA</v>
      </c>
      <c r="I41" s="7" t="str">
        <f ca="1">IFERROR(__xludf.DUMMYFUNCTION("""COMPUTED_VALUE"""),"LAUT BANDA")</f>
        <v>LAUT BANDA</v>
      </c>
      <c r="J41" s="7" t="str">
        <f ca="1">IFERROR(__xludf.DUMMYFUNCTION("""COMPUTED_VALUE"""),"PENGEMBANGAN PELABUHAN")</f>
        <v>PENGEMBANGAN PELABUHAN</v>
      </c>
      <c r="K41" s="13">
        <f ca="1">IFERROR(__xludf.DUMMYFUNCTION("""COMPUTED_VALUE"""),1193.42)</f>
        <v>1193.42</v>
      </c>
      <c r="L41" s="7" t="str">
        <f ca="1">IFERROR(__xludf.DUMMYFUNCTION("""COMPUTED_VALUE"""),"ha")</f>
        <v>ha</v>
      </c>
      <c r="M41" s="7"/>
      <c r="N41" s="7"/>
      <c r="O41" s="7" t="str">
        <f ca="1">IFERROR(__xludf.DUMMYFUNCTION("""COMPUTED_VALUE"""),"24052310517400003")</f>
        <v>24052310517400003</v>
      </c>
      <c r="P41" s="8">
        <f ca="1">IFERROR(__xludf.DUMMYFUNCTION("""COMPUTED_VALUE"""),45070)</f>
        <v>45070</v>
      </c>
      <c r="Q41" s="8">
        <f ca="1">IFERROR(__xludf.DUMMYFUNCTION("""COMPUTED_VALUE"""),45436)</f>
        <v>45436</v>
      </c>
      <c r="R41" s="7" t="str">
        <f ca="1">IFERROR(__xludf.DUMMYFUNCTION("""COMPUTED_VALUE"""),"Terlambat")</f>
        <v>Terlambat</v>
      </c>
      <c r="S41" s="7"/>
      <c r="T41" s="7"/>
      <c r="U41" s="7"/>
      <c r="V41" s="7"/>
      <c r="W41" s="7"/>
      <c r="X41" s="7"/>
      <c r="Y41" s="7"/>
      <c r="Z41" s="7"/>
      <c r="AA41" s="7" t="str">
        <f ca="1">IFERROR(__xludf.DUMMYFUNCTION("""COMPUTED_VALUE"""),"SP1")</f>
        <v>SP1</v>
      </c>
      <c r="AB41" s="9" t="str">
        <f ca="1">IFERROR(__xludf.DUMMYFUNCTION("""COMPUTED_VALUE"""),"LAPORAN 1 TERLAMBAT")</f>
        <v>LAPORAN 1 TERLAMBAT</v>
      </c>
      <c r="AC41" s="9"/>
      <c r="AD41" s="9"/>
      <c r="AE41" s="11"/>
      <c r="AF41" s="7" t="str">
        <f ca="1">IFERROR(__xludf.DUMMYFUNCTION("""COMPUTED_VALUE"""),"BITUNG")</f>
        <v>BITUNG</v>
      </c>
      <c r="AG41" s="8"/>
      <c r="AH41" s="7"/>
      <c r="AI41" s="7"/>
      <c r="AJ41" s="7"/>
      <c r="AK41" s="6"/>
      <c r="AL41" s="6"/>
      <c r="AM41" s="6"/>
      <c r="AN41" s="6"/>
      <c r="AO41" s="6"/>
    </row>
    <row r="42" spans="1:41" ht="50.5" x14ac:dyDescent="0.3">
      <c r="A42" s="7">
        <f ca="1">IFERROR(__xludf.DUMMYFUNCTION("""COMPUTED_VALUE"""),817)</f>
        <v>817</v>
      </c>
      <c r="B42" s="7" t="str">
        <f ca="1">IFERROR(__xludf.DUMMYFUNCTION("""COMPUTED_VALUE"""),"23.13.00174")</f>
        <v>23.13.00174</v>
      </c>
      <c r="C42" s="7" t="str">
        <f ca="1">IFERROR(__xludf.DUMMYFUNCTION("""COMPUTED_VALUE"""),"PT AGRO NUSANTARA HALID")</f>
        <v>PT AGRO NUSANTARA HALID</v>
      </c>
      <c r="D42" s="7" t="str">
        <f ca="1">IFERROR(__xludf.DUMMYFUNCTION("""COMPUTED_VALUE"""),"0811443000 / agronusantarahalid@gmail.com")</f>
        <v>0811443000 / agronusantarahalid@gmail.com</v>
      </c>
      <c r="E42" s="7" t="str">
        <f ca="1">IFERROR(__xludf.DUMMYFUNCTION("""COMPUTED_VALUE"""),"JL. PASAR MINGGU RAYA NO. 2B-C, KELURAHAN PANCORAN, KECAMATAN PANCORAN, KOTA JAKARTA SELATAN, PROVINSI DKI JAKARTA")</f>
        <v>JL. PASAR MINGGU RAYA NO. 2B-C, KELURAHAN PANCORAN, KECAMATAN PANCORAN, KOTA JAKARTA SELATAN, PROVINSI DKI JAKARTA</v>
      </c>
      <c r="F42" s="7" t="str">
        <f ca="1">IFERROR(__xludf.DUMMYFUNCTION("""COMPUTED_VALUE"""),"PERSETUJUAN")</f>
        <v>PERSETUJUAN</v>
      </c>
      <c r="G42" s="7" t="str">
        <f ca="1">IFERROR(__xludf.DUMMYFUNCTION("""COMPUTED_VALUE"""),"BERUSAHA")</f>
        <v>BERUSAHA</v>
      </c>
      <c r="H42" s="7" t="str">
        <f ca="1">IFERROR(__xludf.DUMMYFUNCTION("""COMPUTED_VALUE"""),"SULAWESI SELATAN")</f>
        <v>SULAWESI SELATAN</v>
      </c>
      <c r="I42" s="7" t="str">
        <f ca="1">IFERROR(__xludf.DUMMYFUNCTION("""COMPUTED_VALUE"""),"LAUT FLORES")</f>
        <v>LAUT FLORES</v>
      </c>
      <c r="J42" s="7" t="str">
        <f ca="1">IFERROR(__xludf.DUMMYFUNCTION("""COMPUTED_VALUE"""),"PEMASANGAN INSTALASI PERIKANAN")</f>
        <v>PEMASANGAN INSTALASI PERIKANAN</v>
      </c>
      <c r="K42" s="7">
        <f ca="1">IFERROR(__xludf.DUMMYFUNCTION("""COMPUTED_VALUE"""),0.29)</f>
        <v>0.28999999999999998</v>
      </c>
      <c r="L42" s="7" t="str">
        <f ca="1">IFERROR(__xludf.DUMMYFUNCTION("""COMPUTED_VALUE"""),"ha")</f>
        <v>ha</v>
      </c>
      <c r="M42" s="7"/>
      <c r="N42" s="7"/>
      <c r="O42" s="7" t="str">
        <f ca="1">IFERROR(__xludf.DUMMYFUNCTION("""COMPUTED_VALUE"""),"31052310517300008")</f>
        <v>31052310517300008</v>
      </c>
      <c r="P42" s="8">
        <f ca="1">IFERROR(__xludf.DUMMYFUNCTION("""COMPUTED_VALUE"""),45077)</f>
        <v>45077</v>
      </c>
      <c r="Q42" s="8"/>
      <c r="R42" s="7" t="str">
        <f ca="1">IFERROR(__xludf.DUMMYFUNCTION("""COMPUTED_VALUE"""),"Tidak Menyampaikan Laporan")</f>
        <v>Tidak Menyampaikan Laporan</v>
      </c>
      <c r="S42" s="8">
        <f ca="1">IFERROR(__xludf.DUMMYFUNCTION("""COMPUTED_VALUE"""),45777)</f>
        <v>45777</v>
      </c>
      <c r="T42" s="7"/>
      <c r="U42" s="7"/>
      <c r="V42" s="7"/>
      <c r="W42" s="7"/>
      <c r="X42" s="7"/>
      <c r="Y42" s="7"/>
      <c r="Z42" s="7"/>
      <c r="AA42" s="7" t="str">
        <f ca="1">IFERROR(__xludf.DUMMYFUNCTION("""COMPUTED_VALUE"""),"SP1")</f>
        <v>SP1</v>
      </c>
      <c r="AB42" s="9" t="str">
        <f ca="1">IFERROR(__xludf.DUMMYFUNCTION("""COMPUTED_VALUE"""),"TIDAK MENYAMPAIKAN LAPORAN 1")</f>
        <v>TIDAK MENYAMPAIKAN LAPORAN 1</v>
      </c>
      <c r="AC42" s="9"/>
      <c r="AD42" s="9"/>
      <c r="AE42" s="11"/>
      <c r="AF42" s="7" t="str">
        <f ca="1">IFERROR(__xludf.DUMMYFUNCTION("""COMPUTED_VALUE"""),"BITUNG")</f>
        <v>BITUNG</v>
      </c>
      <c r="AG42" s="8"/>
      <c r="AH42" s="7"/>
      <c r="AI42" s="7"/>
      <c r="AJ42" s="7"/>
      <c r="AK42" s="6"/>
      <c r="AL42" s="6"/>
      <c r="AM42" s="6"/>
      <c r="AN42" s="6"/>
      <c r="AO42" s="6"/>
    </row>
    <row r="43" spans="1:41" ht="25.5" x14ac:dyDescent="0.3">
      <c r="A43" s="7">
        <f ca="1">IFERROR(__xludf.DUMMYFUNCTION("""COMPUTED_VALUE"""),832)</f>
        <v>832</v>
      </c>
      <c r="B43" s="7" t="str">
        <f ca="1">IFERROR(__xludf.DUMMYFUNCTION("""COMPUTED_VALUE"""),"23.13.00229")</f>
        <v>23.13.00229</v>
      </c>
      <c r="C43" s="7" t="str">
        <f ca="1">IFERROR(__xludf.DUMMYFUNCTION("""COMPUTED_VALUE"""),"PT BUKIT INDAH LIMONIT")</f>
        <v>PT BUKIT INDAH LIMONIT</v>
      </c>
      <c r="D43" s="7" t="str">
        <f ca="1">IFERROR(__xludf.DUMMYFUNCTION("""COMPUTED_VALUE"""),"")</f>
        <v/>
      </c>
      <c r="E43" s="7" t="str">
        <f ca="1">IFERROR(__xludf.DUMMYFUNCTION("""COMPUTED_VALUE"""),"JL. KOMP GRIYA ALAM PERMAI, KELURAHAN KAPAS, KECAMATAN TAMALANREA, KOTA MAKASSAR, PROVINSI SULAWESI SELATAN")</f>
        <v>JL. KOMP GRIYA ALAM PERMAI, KELURAHAN KAPAS, KECAMATAN TAMALANREA, KOTA MAKASSAR, PROVINSI SULAWESI SELATAN</v>
      </c>
      <c r="F43" s="7" t="str">
        <f ca="1">IFERROR(__xludf.DUMMYFUNCTION("""COMPUTED_VALUE"""),"PERSETUJUAN")</f>
        <v>PERSETUJUAN</v>
      </c>
      <c r="G43" s="7" t="str">
        <f ca="1">IFERROR(__xludf.DUMMYFUNCTION("""COMPUTED_VALUE"""),"BERUSAHA")</f>
        <v>BERUSAHA</v>
      </c>
      <c r="H43" s="7" t="str">
        <f ca="1">IFERROR(__xludf.DUMMYFUNCTION("""COMPUTED_VALUE"""),"SULAWESI TENGAH")</f>
        <v>SULAWESI TENGAH</v>
      </c>
      <c r="I43" s="7" t="str">
        <f ca="1">IFERROR(__xludf.DUMMYFUNCTION("""COMPUTED_VALUE"""),"LAUT BANDA")</f>
        <v>LAUT BANDA</v>
      </c>
      <c r="J43" s="7" t="str">
        <f ca="1">IFERROR(__xludf.DUMMYFUNCTION("""COMPUTED_VALUE"""),"PEMBANGUNAN TERMINAL KHUSUS")</f>
        <v>PEMBANGUNAN TERMINAL KHUSUS</v>
      </c>
      <c r="K43" s="7">
        <f ca="1">IFERROR(__xludf.DUMMYFUNCTION("""COMPUTED_VALUE"""),30.66)</f>
        <v>30.66</v>
      </c>
      <c r="L43" s="7" t="str">
        <f ca="1">IFERROR(__xludf.DUMMYFUNCTION("""COMPUTED_VALUE"""),"Ha")</f>
        <v>Ha</v>
      </c>
      <c r="M43" s="7"/>
      <c r="N43" s="7"/>
      <c r="O43" s="7" t="str">
        <f ca="1">IFERROR(__xludf.DUMMYFUNCTION("""COMPUTED_VALUE"""),"16062310517200001")</f>
        <v>16062310517200001</v>
      </c>
      <c r="P43" s="8">
        <f ca="1">IFERROR(__xludf.DUMMYFUNCTION("""COMPUTED_VALUE"""),45093)</f>
        <v>45093</v>
      </c>
      <c r="Q43" s="8">
        <f ca="1">IFERROR(__xludf.DUMMYFUNCTION("""COMPUTED_VALUE"""),45679)</f>
        <v>45679</v>
      </c>
      <c r="R43" s="7" t="str">
        <f ca="1">IFERROR(__xludf.DUMMYFUNCTION("""COMPUTED_VALUE"""),"Terlambat")</f>
        <v>Terlambat</v>
      </c>
      <c r="S43" s="7"/>
      <c r="T43" s="7"/>
      <c r="U43" s="7"/>
      <c r="V43" s="7"/>
      <c r="W43" s="7"/>
      <c r="X43" s="7"/>
      <c r="Y43" s="7"/>
      <c r="Z43" s="7"/>
      <c r="AA43" s="7" t="str">
        <f ca="1">IFERROR(__xludf.DUMMYFUNCTION("""COMPUTED_VALUE"""),"SP1")</f>
        <v>SP1</v>
      </c>
      <c r="AB43" s="9" t="str">
        <f ca="1">IFERROR(__xludf.DUMMYFUNCTION("""COMPUTED_VALUE"""),"LAPORAN 1 TERLAMBAT")</f>
        <v>LAPORAN 1 TERLAMBAT</v>
      </c>
      <c r="AC43" s="9"/>
      <c r="AD43" s="9"/>
      <c r="AE43" s="11"/>
      <c r="AF43" s="7" t="str">
        <f ca="1">IFERROR(__xludf.DUMMYFUNCTION("""COMPUTED_VALUE"""),"BITUNG")</f>
        <v>BITUNG</v>
      </c>
      <c r="AG43" s="8"/>
      <c r="AH43" s="7"/>
      <c r="AI43" s="7"/>
      <c r="AJ43" s="7"/>
      <c r="AK43" s="6"/>
      <c r="AL43" s="6"/>
      <c r="AM43" s="6"/>
      <c r="AN43" s="6"/>
      <c r="AO43" s="6"/>
    </row>
    <row r="44" spans="1:41" ht="50.5" x14ac:dyDescent="0.3">
      <c r="A44" s="7">
        <f ca="1">IFERROR(__xludf.DUMMYFUNCTION("""COMPUTED_VALUE"""),836)</f>
        <v>836</v>
      </c>
      <c r="B44" s="7" t="str">
        <f ca="1">IFERROR(__xludf.DUMMYFUNCTION("""COMPUTED_VALUE"""),"23.13.00228")</f>
        <v>23.13.00228</v>
      </c>
      <c r="C44" s="7" t="str">
        <f ca="1">IFERROR(__xludf.DUMMYFUNCTION("""COMPUTED_VALUE"""),"PT HOFFMEN INTERNATIONAL")</f>
        <v>PT HOFFMEN INTERNATIONAL</v>
      </c>
      <c r="D44" s="7" t="str">
        <f ca="1">IFERROR(__xludf.DUMMYFUNCTION("""COMPUTED_VALUE"""),"08125042499 / hoffmenpt@gmail.com")</f>
        <v>08125042499 / hoffmenpt@gmail.com</v>
      </c>
      <c r="E44" s="7" t="str">
        <f ca="1">IFERROR(__xludf.DUMMYFUNCTION("""COMPUTED_VALUE"""),"DISTRICT 8 TREASURY TOWER LT. 52 SCBD LOT 28, JL. JENDERAL SUDIRMAN KAV 52-53, KELURAHAN SENAYAN, KECAMATAN KEBAYORAN BARU, KOTA JAKARTA SELATAN, PROVINSI DKI JAKARTA")</f>
        <v>DISTRICT 8 TREASURY TOWER LT. 52 SCBD LOT 28, JL. JENDERAL SUDIRMAN KAV 52-53, KELURAHAN SENAYAN, KECAMATAN KEBAYORAN BARU, KOTA JAKARTA SELATAN, PROVINSI DKI JAKARTA</v>
      </c>
      <c r="F44" s="7" t="str">
        <f ca="1">IFERROR(__xludf.DUMMYFUNCTION("""COMPUTED_VALUE"""),"PERSETUJUAN")</f>
        <v>PERSETUJUAN</v>
      </c>
      <c r="G44" s="7" t="str">
        <f ca="1">IFERROR(__xludf.DUMMYFUNCTION("""COMPUTED_VALUE"""),"BERUSAHA")</f>
        <v>BERUSAHA</v>
      </c>
      <c r="H44" s="7" t="str">
        <f ca="1">IFERROR(__xludf.DUMMYFUNCTION("""COMPUTED_VALUE"""),"SULAWESI TENGAH")</f>
        <v>SULAWESI TENGAH</v>
      </c>
      <c r="I44" s="7" t="str">
        <f ca="1">IFERROR(__xludf.DUMMYFUNCTION("""COMPUTED_VALUE"""),"LAUT BANDA")</f>
        <v>LAUT BANDA</v>
      </c>
      <c r="J44" s="7" t="str">
        <f ca="1">IFERROR(__xludf.DUMMYFUNCTION("""COMPUTED_VALUE"""),"PEMBANGUNAN TERMINAL KHUSUS")</f>
        <v>PEMBANGUNAN TERMINAL KHUSUS</v>
      </c>
      <c r="K44" s="7">
        <f ca="1">IFERROR(__xludf.DUMMYFUNCTION("""COMPUTED_VALUE"""),2.02)</f>
        <v>2.02</v>
      </c>
      <c r="L44" s="7" t="str">
        <f ca="1">IFERROR(__xludf.DUMMYFUNCTION("""COMPUTED_VALUE"""),"Ha")</f>
        <v>Ha</v>
      </c>
      <c r="M44" s="7"/>
      <c r="N44" s="7"/>
      <c r="O44" s="7" t="str">
        <f ca="1">IFERROR(__xludf.DUMMYFUNCTION("""COMPUTED_VALUE"""),"19062310517300009")</f>
        <v>19062310517300009</v>
      </c>
      <c r="P44" s="8">
        <f ca="1">IFERROR(__xludf.DUMMYFUNCTION("""COMPUTED_VALUE"""),45096)</f>
        <v>45096</v>
      </c>
      <c r="Q44" s="7"/>
      <c r="R44" s="7" t="str">
        <f ca="1">IFERROR(__xludf.DUMMYFUNCTION("""COMPUTED_VALUE"""),"Tidak Menyampaikan Laporan")</f>
        <v>Tidak Menyampaikan Laporan</v>
      </c>
      <c r="S44" s="7"/>
      <c r="T44" s="7"/>
      <c r="U44" s="7"/>
      <c r="V44" s="7"/>
      <c r="W44" s="7"/>
      <c r="X44" s="7"/>
      <c r="Y44" s="7"/>
      <c r="Z44" s="7"/>
      <c r="AA44" s="7" t="str">
        <f ca="1">IFERROR(__xludf.DUMMYFUNCTION("""COMPUTED_VALUE"""),"SP1")</f>
        <v>SP1</v>
      </c>
      <c r="AB44" s="9" t="str">
        <f ca="1">IFERROR(__xludf.DUMMYFUNCTION("""COMPUTED_VALUE"""),"TIDAK MENYAMPAIKAN LAPORAN 1")</f>
        <v>TIDAK MENYAMPAIKAN LAPORAN 1</v>
      </c>
      <c r="AC44" s="9"/>
      <c r="AD44" s="9"/>
      <c r="AE44" s="9"/>
      <c r="AF44" s="7" t="str">
        <f ca="1">IFERROR(__xludf.DUMMYFUNCTION("""COMPUTED_VALUE"""),"BITUNG")</f>
        <v>BITUNG</v>
      </c>
      <c r="AG44" s="7"/>
      <c r="AH44" s="7"/>
      <c r="AI44" s="7"/>
      <c r="AJ44" s="7"/>
      <c r="AK44" s="6"/>
      <c r="AL44" s="6"/>
      <c r="AM44" s="6"/>
      <c r="AN44" s="6"/>
      <c r="AO44" s="6"/>
    </row>
    <row r="45" spans="1:41" ht="25.5" x14ac:dyDescent="0.3">
      <c r="A45" s="7">
        <f ca="1">IFERROR(__xludf.DUMMYFUNCTION("""COMPUTED_VALUE"""),852)</f>
        <v>852</v>
      </c>
      <c r="B45" s="7" t="str">
        <f ca="1">IFERROR(__xludf.DUMMYFUNCTION("""COMPUTED_VALUE"""),"23.13.00215")</f>
        <v>23.13.00215</v>
      </c>
      <c r="C45" s="7" t="str">
        <f ca="1">IFERROR(__xludf.DUMMYFUNCTION("""COMPUTED_VALUE"""),"PT FATWA BUMI SEJAHTERA")</f>
        <v>PT FATWA BUMI SEJAHTERA</v>
      </c>
      <c r="D45" s="7" t="str">
        <f ca="1">IFERROR(__xludf.DUMMYFUNCTION("""COMPUTED_VALUE"""),"")</f>
        <v/>
      </c>
      <c r="E45" s="7" t="str">
        <f ca="1">IFERROR(__xludf.DUMMYFUNCTION("""COMPUTED_VALUE"""),"JL. DR. SAM RATULANGI NO. 75, TOBUUHA, KECAMATAN PUUWATU, KOTA KENDARI, PROVINSI SULAWESI TENGGARA")</f>
        <v>JL. DR. SAM RATULANGI NO. 75, TOBUUHA, KECAMATAN PUUWATU, KOTA KENDARI, PROVINSI SULAWESI TENGGARA</v>
      </c>
      <c r="F45" s="7" t="str">
        <f ca="1">IFERROR(__xludf.DUMMYFUNCTION("""COMPUTED_VALUE"""),"PERSETUJUAN")</f>
        <v>PERSETUJUAN</v>
      </c>
      <c r="G45" s="7" t="str">
        <f ca="1">IFERROR(__xludf.DUMMYFUNCTION("""COMPUTED_VALUE"""),"BERUSAHA")</f>
        <v>BERUSAHA</v>
      </c>
      <c r="H45" s="7" t="str">
        <f ca="1">IFERROR(__xludf.DUMMYFUNCTION("""COMPUTED_VALUE"""),"SULAWESI TENGGARA")</f>
        <v>SULAWESI TENGGARA</v>
      </c>
      <c r="I45" s="7" t="str">
        <f ca="1">IFERROR(__xludf.DUMMYFUNCTION("""COMPUTED_VALUE"""),"TELUK BONE")</f>
        <v>TELUK BONE</v>
      </c>
      <c r="J45" s="7" t="str">
        <f ca="1">IFERROR(__xludf.DUMMYFUNCTION("""COMPUTED_VALUE"""),"PENGEMBANGAN TERMINAL KHUSUS")</f>
        <v>PENGEMBANGAN TERMINAL KHUSUS</v>
      </c>
      <c r="K45" s="7">
        <f ca="1">IFERROR(__xludf.DUMMYFUNCTION("""COMPUTED_VALUE"""),78.77)</f>
        <v>78.77</v>
      </c>
      <c r="L45" s="7" t="str">
        <f ca="1">IFERROR(__xludf.DUMMYFUNCTION("""COMPUTED_VALUE"""),"ha")</f>
        <v>ha</v>
      </c>
      <c r="M45" s="7"/>
      <c r="N45" s="7"/>
      <c r="O45" s="7" t="str">
        <f ca="1">IFERROR(__xludf.DUMMYFUNCTION("""COMPUTED_VALUE"""),"27062310517400005")</f>
        <v>27062310517400005</v>
      </c>
      <c r="P45" s="8">
        <f ca="1">IFERROR(__xludf.DUMMYFUNCTION("""COMPUTED_VALUE"""),45104)</f>
        <v>45104</v>
      </c>
      <c r="Q45" s="8">
        <f ca="1">IFERROR(__xludf.DUMMYFUNCTION("""COMPUTED_VALUE"""),45470)</f>
        <v>45470</v>
      </c>
      <c r="R45" s="7" t="str">
        <f ca="1">IFERROR(__xludf.DUMMYFUNCTION("""COMPUTED_VALUE"""),"Terlambat")</f>
        <v>Terlambat</v>
      </c>
      <c r="S45" s="7"/>
      <c r="T45" s="7"/>
      <c r="U45" s="7"/>
      <c r="V45" s="7"/>
      <c r="W45" s="7"/>
      <c r="X45" s="7"/>
      <c r="Y45" s="7"/>
      <c r="Z45" s="7"/>
      <c r="AA45" s="7" t="str">
        <f ca="1">IFERROR(__xludf.DUMMYFUNCTION("""COMPUTED_VALUE"""),"SP1")</f>
        <v>SP1</v>
      </c>
      <c r="AB45" s="9" t="str">
        <f ca="1">IFERROR(__xludf.DUMMYFUNCTION("""COMPUTED_VALUE"""),"LAPORAN 1 TERLAMBAT")</f>
        <v>LAPORAN 1 TERLAMBAT</v>
      </c>
      <c r="AC45" s="9"/>
      <c r="AD45" s="9"/>
      <c r="AE45" s="11"/>
      <c r="AF45" s="7" t="str">
        <f ca="1">IFERROR(__xludf.DUMMYFUNCTION("""COMPUTED_VALUE"""),"BITUNG")</f>
        <v>BITUNG</v>
      </c>
      <c r="AG45" s="8"/>
      <c r="AH45" s="7"/>
      <c r="AI45" s="7"/>
      <c r="AJ45" s="7"/>
      <c r="AK45" s="6"/>
      <c r="AL45" s="6"/>
      <c r="AM45" s="6"/>
      <c r="AN45" s="6"/>
      <c r="AO45" s="6"/>
    </row>
    <row r="46" spans="1:41" ht="50.5" x14ac:dyDescent="0.3">
      <c r="A46" s="7">
        <f ca="1">IFERROR(__xludf.DUMMYFUNCTION("""COMPUTED_VALUE"""),864)</f>
        <v>864</v>
      </c>
      <c r="B46" s="7" t="str">
        <f ca="1">IFERROR(__xludf.DUMMYFUNCTION("""COMPUTED_VALUE"""),"23.13.00267")</f>
        <v>23.13.00267</v>
      </c>
      <c r="C46" s="7" t="str">
        <f ca="1">IFERROR(__xludf.DUMMYFUNCTION("""COMPUTED_VALUE"""),"PT LEWUTO BIMA PERSADA")</f>
        <v>PT LEWUTO BIMA PERSADA</v>
      </c>
      <c r="D46" s="7" t="str">
        <f ca="1">IFERROR(__xludf.DUMMYFUNCTION("""COMPUTED_VALUE"""),"082155076726 / finance@lbpmining.com")</f>
        <v>082155076726 / finance@lbpmining.com</v>
      </c>
      <c r="E46" s="7" t="str">
        <f ca="1">IFERROR(__xludf.DUMMYFUNCTION("""COMPUTED_VALUE"""),"JL. MULAWARMAN NO. 46A, PELABUHAN, KECAMATAN SAMARINDA KOTA, KOTA SAMARINDA, PROVINSI KALIMANTAN TIMUR")</f>
        <v>JL. MULAWARMAN NO. 46A, PELABUHAN, KECAMATAN SAMARINDA KOTA, KOTA SAMARINDA, PROVINSI KALIMANTAN TIMUR</v>
      </c>
      <c r="F46" s="7" t="str">
        <f ca="1">IFERROR(__xludf.DUMMYFUNCTION("""COMPUTED_VALUE"""),"PERSETUJUAN")</f>
        <v>PERSETUJUAN</v>
      </c>
      <c r="G46" s="7" t="str">
        <f ca="1">IFERROR(__xludf.DUMMYFUNCTION("""COMPUTED_VALUE"""),"BERUSAHA")</f>
        <v>BERUSAHA</v>
      </c>
      <c r="H46" s="7" t="str">
        <f ca="1">IFERROR(__xludf.DUMMYFUNCTION("""COMPUTED_VALUE"""),"SULAWESI TENGAH")</f>
        <v>SULAWESI TENGAH</v>
      </c>
      <c r="I46" s="7" t="str">
        <f ca="1">IFERROR(__xludf.DUMMYFUNCTION("""COMPUTED_VALUE"""),"LAUT BANDA")</f>
        <v>LAUT BANDA</v>
      </c>
      <c r="J46" s="7" t="str">
        <f ca="1">IFERROR(__xludf.DUMMYFUNCTION("""COMPUTED_VALUE"""),"PEMBANGUNAN TERMINAL KHUSUS")</f>
        <v>PEMBANGUNAN TERMINAL KHUSUS</v>
      </c>
      <c r="K46" s="7">
        <f ca="1">IFERROR(__xludf.DUMMYFUNCTION("""COMPUTED_VALUE"""),14.1)</f>
        <v>14.1</v>
      </c>
      <c r="L46" s="7" t="str">
        <f ca="1">IFERROR(__xludf.DUMMYFUNCTION("""COMPUTED_VALUE"""),"ha")</f>
        <v>ha</v>
      </c>
      <c r="M46" s="7"/>
      <c r="N46" s="7"/>
      <c r="O46" s="7" t="str">
        <f ca="1">IFERROR(__xludf.DUMMYFUNCTION("""COMPUTED_VALUE"""),"04072310517200002")</f>
        <v>04072310517200002</v>
      </c>
      <c r="P46" s="8">
        <f ca="1">IFERROR(__xludf.DUMMYFUNCTION("""COMPUTED_VALUE"""),45111)</f>
        <v>45111</v>
      </c>
      <c r="Q46" s="7"/>
      <c r="R46" s="7" t="str">
        <f ca="1">IFERROR(__xludf.DUMMYFUNCTION("""COMPUTED_VALUE"""),"Tidak Menyampaikan Laporan")</f>
        <v>Tidak Menyampaikan Laporan</v>
      </c>
      <c r="S46" s="7"/>
      <c r="T46" s="7"/>
      <c r="U46" s="7"/>
      <c r="V46" s="7"/>
      <c r="W46" s="7"/>
      <c r="X46" s="7"/>
      <c r="Y46" s="7"/>
      <c r="Z46" s="7"/>
      <c r="AA46" s="7" t="str">
        <f ca="1">IFERROR(__xludf.DUMMYFUNCTION("""COMPUTED_VALUE"""),"SP1")</f>
        <v>SP1</v>
      </c>
      <c r="AB46" s="9" t="str">
        <f ca="1">IFERROR(__xludf.DUMMYFUNCTION("""COMPUTED_VALUE"""),"TIDAK MENYAMPAIKAN LAPORAN 1")</f>
        <v>TIDAK MENYAMPAIKAN LAPORAN 1</v>
      </c>
      <c r="AC46" s="9"/>
      <c r="AD46" s="9"/>
      <c r="AE46" s="9"/>
      <c r="AF46" s="7" t="str">
        <f ca="1">IFERROR(__xludf.DUMMYFUNCTION("""COMPUTED_VALUE"""),"BITUNG")</f>
        <v>BITUNG</v>
      </c>
      <c r="AG46" s="7"/>
      <c r="AH46" s="7"/>
      <c r="AI46" s="7"/>
      <c r="AJ46" s="7"/>
      <c r="AK46" s="6"/>
      <c r="AL46" s="6"/>
      <c r="AM46" s="6"/>
      <c r="AN46" s="6"/>
      <c r="AO46" s="6"/>
    </row>
    <row r="47" spans="1:41" ht="25.5" x14ac:dyDescent="0.3">
      <c r="A47" s="7">
        <f ca="1">IFERROR(__xludf.DUMMYFUNCTION("""COMPUTED_VALUE"""),873)</f>
        <v>873</v>
      </c>
      <c r="B47" s="7" t="str">
        <f ca="1">IFERROR(__xludf.DUMMYFUNCTION("""COMPUTED_VALUE"""),"23.13.00276")</f>
        <v>23.13.00276</v>
      </c>
      <c r="C47" s="7" t="str">
        <f ca="1">IFERROR(__xludf.DUMMYFUNCTION("""COMPUTED_VALUE"""),"CV SANDY KARYA MOROWALI")</f>
        <v>CV SANDY KARYA MOROWALI</v>
      </c>
      <c r="D47" s="7" t="str">
        <f ca="1">IFERROR(__xludf.DUMMYFUNCTION("""COMPUTED_VALUE"""),"")</f>
        <v/>
      </c>
      <c r="E47" s="7" t="str">
        <f ca="1">IFERROR(__xludf.DUMMYFUNCTION("""COMPUTED_VALUE"""),"JL. SAPTAMARGA, KELURAHAN BOTU, KECAMATAN DUMBO RAYA, KOTA GORONTALO, PROVINSI GORONTALO")</f>
        <v>JL. SAPTAMARGA, KELURAHAN BOTU, KECAMATAN DUMBO RAYA, KOTA GORONTALO, PROVINSI GORONTALO</v>
      </c>
      <c r="F47" s="7" t="str">
        <f ca="1">IFERROR(__xludf.DUMMYFUNCTION("""COMPUTED_VALUE"""),"PERSETUJUAN")</f>
        <v>PERSETUJUAN</v>
      </c>
      <c r="G47" s="7" t="str">
        <f ca="1">IFERROR(__xludf.DUMMYFUNCTION("""COMPUTED_VALUE"""),"BERUSAHA")</f>
        <v>BERUSAHA</v>
      </c>
      <c r="H47" s="7" t="str">
        <f ca="1">IFERROR(__xludf.DUMMYFUNCTION("""COMPUTED_VALUE"""),"SULAWESI TENGAH")</f>
        <v>SULAWESI TENGAH</v>
      </c>
      <c r="I47" s="7" t="str">
        <f ca="1">IFERROR(__xludf.DUMMYFUNCTION("""COMPUTED_VALUE"""),"LAUT BANDA")</f>
        <v>LAUT BANDA</v>
      </c>
      <c r="J47" s="7" t="str">
        <f ca="1">IFERROR(__xludf.DUMMYFUNCTION("""COMPUTED_VALUE"""),"PEMBANGUNAN TERMINAL KHUSUS")</f>
        <v>PEMBANGUNAN TERMINAL KHUSUS</v>
      </c>
      <c r="K47" s="7">
        <f ca="1">IFERROR(__xludf.DUMMYFUNCTION("""COMPUTED_VALUE"""),8.63)</f>
        <v>8.6300000000000008</v>
      </c>
      <c r="L47" s="7" t="str">
        <f ca="1">IFERROR(__xludf.DUMMYFUNCTION("""COMPUTED_VALUE"""),"ha")</f>
        <v>ha</v>
      </c>
      <c r="M47" s="7"/>
      <c r="N47" s="7"/>
      <c r="O47" s="7" t="str">
        <f ca="1">IFERROR(__xludf.DUMMYFUNCTION("""COMPUTED_VALUE"""),"11072310517200003")</f>
        <v>11072310517200003</v>
      </c>
      <c r="P47" s="8">
        <f ca="1">IFERROR(__xludf.DUMMYFUNCTION("""COMPUTED_VALUE"""),45118)</f>
        <v>45118</v>
      </c>
      <c r="Q47" s="8">
        <f ca="1">IFERROR(__xludf.DUMMYFUNCTION("""COMPUTED_VALUE"""),45560)</f>
        <v>45560</v>
      </c>
      <c r="R47" s="7" t="str">
        <f ca="1">IFERROR(__xludf.DUMMYFUNCTION("""COMPUTED_VALUE"""),"Terlambat")</f>
        <v>Terlambat</v>
      </c>
      <c r="S47" s="7"/>
      <c r="T47" s="7"/>
      <c r="U47" s="7"/>
      <c r="V47" s="7"/>
      <c r="W47" s="7"/>
      <c r="X47" s="7"/>
      <c r="Y47" s="7"/>
      <c r="Z47" s="7"/>
      <c r="AA47" s="7" t="str">
        <f ca="1">IFERROR(__xludf.DUMMYFUNCTION("""COMPUTED_VALUE"""),"SP1")</f>
        <v>SP1</v>
      </c>
      <c r="AB47" s="9" t="str">
        <f ca="1">IFERROR(__xludf.DUMMYFUNCTION("""COMPUTED_VALUE"""),"LAPORAN 1 TERLAMBAT")</f>
        <v>LAPORAN 1 TERLAMBAT</v>
      </c>
      <c r="AC47" s="9"/>
      <c r="AD47" s="9"/>
      <c r="AE47" s="11"/>
      <c r="AF47" s="7" t="str">
        <f ca="1">IFERROR(__xludf.DUMMYFUNCTION("""COMPUTED_VALUE"""),"BITUNG")</f>
        <v>BITUNG</v>
      </c>
      <c r="AG47" s="8"/>
      <c r="AH47" s="7"/>
      <c r="AI47" s="7"/>
      <c r="AJ47" s="7"/>
      <c r="AK47" s="6"/>
      <c r="AL47" s="6"/>
      <c r="AM47" s="6"/>
      <c r="AN47" s="6"/>
      <c r="AO47" s="6"/>
    </row>
    <row r="48" spans="1:41" ht="50.5" x14ac:dyDescent="0.3">
      <c r="A48" s="7">
        <f ca="1">IFERROR(__xludf.DUMMYFUNCTION("""COMPUTED_VALUE"""),874)</f>
        <v>874</v>
      </c>
      <c r="B48" s="7" t="str">
        <f ca="1">IFERROR(__xludf.DUMMYFUNCTION("""COMPUTED_VALUE"""),"23.13.00278")</f>
        <v>23.13.00278</v>
      </c>
      <c r="C48" s="7" t="str">
        <f ca="1">IFERROR(__xludf.DUMMYFUNCTION("""COMPUTED_VALUE"""),"PT KENDARI KAWASAN INDUSTRI TERPADU")</f>
        <v>PT KENDARI KAWASAN INDUSTRI TERPADU</v>
      </c>
      <c r="D48" s="7" t="str">
        <f ca="1">IFERROR(__xludf.DUMMYFUNCTION("""COMPUTED_VALUE"""),"08124701180/pt.kendarikawasanindustri@gmail.com")</f>
        <v>08124701180/pt.kendarikawasanindustri@gmail.com</v>
      </c>
      <c r="E48" s="7" t="str">
        <f ca="1">IFERROR(__xludf.DUMMYFUNCTION("""COMPUTED_VALUE"""),"JL. SULTAN HASANUDDIN NO. 67, KELURAHAN TIPULU, KECAMATAN KENDARI BARAT, KOTA KENDARI, PROVINSI SULAWESI TENGGARA")</f>
        <v>JL. SULTAN HASANUDDIN NO. 67, KELURAHAN TIPULU, KECAMATAN KENDARI BARAT, KOTA KENDARI, PROVINSI SULAWESI TENGGARA</v>
      </c>
      <c r="F48" s="7" t="str">
        <f ca="1">IFERROR(__xludf.DUMMYFUNCTION("""COMPUTED_VALUE"""),"PERSETUJUAN")</f>
        <v>PERSETUJUAN</v>
      </c>
      <c r="G48" s="7" t="str">
        <f ca="1">IFERROR(__xludf.DUMMYFUNCTION("""COMPUTED_VALUE"""),"BERUSAHA")</f>
        <v>BERUSAHA</v>
      </c>
      <c r="H48" s="7" t="str">
        <f ca="1">IFERROR(__xludf.DUMMYFUNCTION("""COMPUTED_VALUE"""),"SULAWESI TENGGARA")</f>
        <v>SULAWESI TENGGARA</v>
      </c>
      <c r="I48" s="7" t="str">
        <f ca="1">IFERROR(__xludf.DUMMYFUNCTION("""COMPUTED_VALUE"""),"LAUT BANDA")</f>
        <v>LAUT BANDA</v>
      </c>
      <c r="J48" s="7" t="str">
        <f ca="1">IFERROR(__xludf.DUMMYFUNCTION("""COMPUTED_VALUE"""),"TERMINAL UNTUK KEPENTINGAN SENDIRI (TUKS)")</f>
        <v>TERMINAL UNTUK KEPENTINGAN SENDIRI (TUKS)</v>
      </c>
      <c r="K48" s="7">
        <f ca="1">IFERROR(__xludf.DUMMYFUNCTION("""COMPUTED_VALUE"""),97.79)</f>
        <v>97.79</v>
      </c>
      <c r="L48" s="7" t="str">
        <f ca="1">IFERROR(__xludf.DUMMYFUNCTION("""COMPUTED_VALUE"""),"ha")</f>
        <v>ha</v>
      </c>
      <c r="M48" s="7"/>
      <c r="N48" s="7"/>
      <c r="O48" s="7" t="str">
        <f ca="1">IFERROR(__xludf.DUMMYFUNCTION("""COMPUTED_VALUE"""),"11072310517400006")</f>
        <v>11072310517400006</v>
      </c>
      <c r="P48" s="8">
        <f ca="1">IFERROR(__xludf.DUMMYFUNCTION("""COMPUTED_VALUE"""),45118)</f>
        <v>45118</v>
      </c>
      <c r="Q48" s="7"/>
      <c r="R48" s="7" t="str">
        <f ca="1">IFERROR(__xludf.DUMMYFUNCTION("""COMPUTED_VALUE"""),"Tidak Menyampaikan Laporan")</f>
        <v>Tidak Menyampaikan Laporan</v>
      </c>
      <c r="S48" s="8"/>
      <c r="T48" s="7"/>
      <c r="U48" s="7"/>
      <c r="V48" s="7"/>
      <c r="W48" s="7"/>
      <c r="X48" s="7"/>
      <c r="Y48" s="7"/>
      <c r="Z48" s="7"/>
      <c r="AA48" s="7" t="str">
        <f ca="1">IFERROR(__xludf.DUMMYFUNCTION("""COMPUTED_VALUE"""),"SP1")</f>
        <v>SP1</v>
      </c>
      <c r="AB48" s="9" t="str">
        <f ca="1">IFERROR(__xludf.DUMMYFUNCTION("""COMPUTED_VALUE"""),"TIDAK MENYAMPAIKAN LAPORAN 1")</f>
        <v>TIDAK MENYAMPAIKAN LAPORAN 1</v>
      </c>
      <c r="AC48" s="9"/>
      <c r="AD48" s="9"/>
      <c r="AE48" s="9"/>
      <c r="AF48" s="7" t="str">
        <f ca="1">IFERROR(__xludf.DUMMYFUNCTION("""COMPUTED_VALUE"""),"BITUNG")</f>
        <v>BITUNG</v>
      </c>
      <c r="AG48" s="7"/>
      <c r="AH48" s="7"/>
      <c r="AI48" s="7"/>
      <c r="AJ48" s="7"/>
      <c r="AK48" s="6"/>
      <c r="AL48" s="6"/>
      <c r="AM48" s="6"/>
      <c r="AN48" s="6"/>
      <c r="AO48" s="6"/>
    </row>
    <row r="49" spans="1:41" ht="50.5" x14ac:dyDescent="0.3">
      <c r="A49" s="7">
        <f ca="1">IFERROR(__xludf.DUMMYFUNCTION("""COMPUTED_VALUE"""),885)</f>
        <v>885</v>
      </c>
      <c r="B49" s="7" t="str">
        <f ca="1">IFERROR(__xludf.DUMMYFUNCTION("""COMPUTED_VALUE"""),"23.13.00285")</f>
        <v>23.13.00285</v>
      </c>
      <c r="C49" s="7" t="str">
        <f ca="1">IFERROR(__xludf.DUMMYFUNCTION("""COMPUTED_VALUE"""),"PT SEJAHTERA TANI TAMBAK SARJO")</f>
        <v>PT SEJAHTERA TANI TAMBAK SARJO</v>
      </c>
      <c r="D49" s="7" t="str">
        <f ca="1">IFERROR(__xludf.DUMMYFUNCTION("""COMPUTED_VALUE"""),"081542786602/sejahteratanitambaksarjo@gmail.com")</f>
        <v>081542786602/sejahteratanitambaksarjo@gmail.com</v>
      </c>
      <c r="E49" s="7" t="str">
        <f ca="1">IFERROR(__xludf.DUMMYFUNCTION("""COMPUTED_VALUE"""),"DUSUN BALABONDA")</f>
        <v>DUSUN BALABONDA</v>
      </c>
      <c r="F49" s="7" t="str">
        <f ca="1">IFERROR(__xludf.DUMMYFUNCTION("""COMPUTED_VALUE"""),"PERSETUJUAN")</f>
        <v>PERSETUJUAN</v>
      </c>
      <c r="G49" s="7" t="str">
        <f ca="1">IFERROR(__xludf.DUMMYFUNCTION("""COMPUTED_VALUE"""),"BERUSAHA")</f>
        <v>BERUSAHA</v>
      </c>
      <c r="H49" s="7" t="str">
        <f ca="1">IFERROR(__xludf.DUMMYFUNCTION("""COMPUTED_VALUE"""),"SULAWESI BARAT")</f>
        <v>SULAWESI BARAT</v>
      </c>
      <c r="I49" s="7" t="str">
        <f ca="1">IFERROR(__xludf.DUMMYFUNCTION("""COMPUTED_VALUE"""),"SELAT MAKASSAR")</f>
        <v>SELAT MAKASSAR</v>
      </c>
      <c r="J49" s="7" t="str">
        <f ca="1">IFERROR(__xludf.DUMMYFUNCTION("""COMPUTED_VALUE"""),"PEMASANGAN INSTALASI PERIKANAN")</f>
        <v>PEMASANGAN INSTALASI PERIKANAN</v>
      </c>
      <c r="K49" s="7">
        <f ca="1">IFERROR(__xludf.DUMMYFUNCTION("""COMPUTED_VALUE"""),0.53)</f>
        <v>0.53</v>
      </c>
      <c r="L49" s="7" t="str">
        <f ca="1">IFERROR(__xludf.DUMMYFUNCTION("""COMPUTED_VALUE"""),"ha")</f>
        <v>ha</v>
      </c>
      <c r="M49" s="7"/>
      <c r="N49" s="7"/>
      <c r="O49" s="7" t="str">
        <f ca="1">IFERROR(__xludf.DUMMYFUNCTION("""COMPUTED_VALUE"""),"14072310517600003")</f>
        <v>14072310517600003</v>
      </c>
      <c r="P49" s="8">
        <f ca="1">IFERROR(__xludf.DUMMYFUNCTION("""COMPUTED_VALUE"""),45121)</f>
        <v>45121</v>
      </c>
      <c r="Q49" s="7"/>
      <c r="R49" s="7" t="str">
        <f ca="1">IFERROR(__xludf.DUMMYFUNCTION("""COMPUTED_VALUE"""),"Tidak Menyampaikan Laporan")</f>
        <v>Tidak Menyampaikan Laporan</v>
      </c>
      <c r="S49" s="7"/>
      <c r="T49" s="7"/>
      <c r="U49" s="7"/>
      <c r="V49" s="7"/>
      <c r="W49" s="7"/>
      <c r="X49" s="7"/>
      <c r="Y49" s="7"/>
      <c r="Z49" s="7"/>
      <c r="AA49" s="7" t="str">
        <f ca="1">IFERROR(__xludf.DUMMYFUNCTION("""COMPUTED_VALUE"""),"SP1")</f>
        <v>SP1</v>
      </c>
      <c r="AB49" s="9" t="str">
        <f ca="1">IFERROR(__xludf.DUMMYFUNCTION("""COMPUTED_VALUE"""),"TIDAK MENYAMPAIKAN LAPORAN 1")</f>
        <v>TIDAK MENYAMPAIKAN LAPORAN 1</v>
      </c>
      <c r="AC49" s="9"/>
      <c r="AD49" s="9"/>
      <c r="AE49" s="9"/>
      <c r="AF49" s="7" t="str">
        <f ca="1">IFERROR(__xludf.DUMMYFUNCTION("""COMPUTED_VALUE"""),"BITUNG")</f>
        <v>BITUNG</v>
      </c>
      <c r="AG49" s="7"/>
      <c r="AH49" s="7"/>
      <c r="AI49" s="7"/>
      <c r="AJ49" s="7"/>
      <c r="AK49" s="6"/>
      <c r="AL49" s="6"/>
      <c r="AM49" s="6"/>
      <c r="AN49" s="6"/>
      <c r="AO49" s="6"/>
    </row>
    <row r="50" spans="1:41" ht="25.5" x14ac:dyDescent="0.3">
      <c r="A50" s="7">
        <f ca="1">IFERROR(__xludf.DUMMYFUNCTION("""COMPUTED_VALUE"""),897)</f>
        <v>897</v>
      </c>
      <c r="B50" s="7" t="str">
        <f ca="1">IFERROR(__xludf.DUMMYFUNCTION("""COMPUTED_VALUE"""),"23.13.00299")</f>
        <v>23.13.00299</v>
      </c>
      <c r="C50" s="7" t="str">
        <f ca="1">IFERROR(__xludf.DUMMYFUNCTION("""COMPUTED_VALUE"""),"PT PUTRA KONAWE UTAMA")</f>
        <v>PT PUTRA KONAWE UTAMA</v>
      </c>
      <c r="D50" s="7" t="str">
        <f ca="1">IFERROR(__xludf.DUMMYFUNCTION("""COMPUTED_VALUE"""),"")</f>
        <v/>
      </c>
      <c r="E50" s="7" t="str">
        <f ca="1">IFERROR(__xludf.DUMMYFUNCTION("""COMPUTED_VALUE"""),"JL. SULTAN HASANUDDIN NO. 67, KELURAHAN TIPULU, KECAMATAN KENDARI BARAT, KOTA KENDARI, PROVINSI SULAWESI TENGGARA")</f>
        <v>JL. SULTAN HASANUDDIN NO. 67, KELURAHAN TIPULU, KECAMATAN KENDARI BARAT, KOTA KENDARI, PROVINSI SULAWESI TENGGARA</v>
      </c>
      <c r="F50" s="7" t="str">
        <f ca="1">IFERROR(__xludf.DUMMYFUNCTION("""COMPUTED_VALUE"""),"PERSETUJUAN")</f>
        <v>PERSETUJUAN</v>
      </c>
      <c r="G50" s="7" t="str">
        <f ca="1">IFERROR(__xludf.DUMMYFUNCTION("""COMPUTED_VALUE"""),"BERUSAHA")</f>
        <v>BERUSAHA</v>
      </c>
      <c r="H50" s="7" t="str">
        <f ca="1">IFERROR(__xludf.DUMMYFUNCTION("""COMPUTED_VALUE"""),"SULAWESI TENGAH")</f>
        <v>SULAWESI TENGAH</v>
      </c>
      <c r="I50" s="7" t="str">
        <f ca="1">IFERROR(__xludf.DUMMYFUNCTION("""COMPUTED_VALUE"""),"LAUT BANDA")</f>
        <v>LAUT BANDA</v>
      </c>
      <c r="J50" s="7" t="str">
        <f ca="1">IFERROR(__xludf.DUMMYFUNCTION("""COMPUTED_VALUE"""),"PEMBANGUNAN TERMINAL KHUSUS")</f>
        <v>PEMBANGUNAN TERMINAL KHUSUS</v>
      </c>
      <c r="K50" s="7">
        <f ca="1">IFERROR(__xludf.DUMMYFUNCTION("""COMPUTED_VALUE"""),5)</f>
        <v>5</v>
      </c>
      <c r="L50" s="7" t="str">
        <f ca="1">IFERROR(__xludf.DUMMYFUNCTION("""COMPUTED_VALUE"""),"ha")</f>
        <v>ha</v>
      </c>
      <c r="M50" s="7"/>
      <c r="N50" s="7"/>
      <c r="O50" s="7" t="str">
        <f ca="1">IFERROR(__xludf.DUMMYFUNCTION("""COMPUTED_VALUE"""),"14072310517200004")</f>
        <v>14072310517200004</v>
      </c>
      <c r="P50" s="8">
        <f ca="1">IFERROR(__xludf.DUMMYFUNCTION("""COMPUTED_VALUE"""),45121)</f>
        <v>45121</v>
      </c>
      <c r="Q50" s="8">
        <f ca="1">IFERROR(__xludf.DUMMYFUNCTION("""COMPUTED_VALUE"""),45502)</f>
        <v>45502</v>
      </c>
      <c r="R50" s="7" t="str">
        <f ca="1">IFERROR(__xludf.DUMMYFUNCTION("""COMPUTED_VALUE"""),"Terlambat")</f>
        <v>Terlambat</v>
      </c>
      <c r="S50" s="8"/>
      <c r="T50" s="7"/>
      <c r="U50" s="7"/>
      <c r="V50" s="7"/>
      <c r="W50" s="7"/>
      <c r="X50" s="7"/>
      <c r="Y50" s="7"/>
      <c r="Z50" s="7"/>
      <c r="AA50" s="7" t="str">
        <f ca="1">IFERROR(__xludf.DUMMYFUNCTION("""COMPUTED_VALUE"""),"SP1")</f>
        <v>SP1</v>
      </c>
      <c r="AB50" s="9" t="str">
        <f ca="1">IFERROR(__xludf.DUMMYFUNCTION("""COMPUTED_VALUE"""),"LAPORAN 1 TERLAMBAT")</f>
        <v>LAPORAN 1 TERLAMBAT</v>
      </c>
      <c r="AC50" s="9"/>
      <c r="AD50" s="9"/>
      <c r="AE50" s="11"/>
      <c r="AF50" s="7" t="str">
        <f ca="1">IFERROR(__xludf.DUMMYFUNCTION("""COMPUTED_VALUE"""),"BITUNG")</f>
        <v>BITUNG</v>
      </c>
      <c r="AG50" s="8"/>
      <c r="AH50" s="7"/>
      <c r="AI50" s="7"/>
      <c r="AJ50" s="7"/>
      <c r="AK50" s="6"/>
      <c r="AL50" s="6"/>
      <c r="AM50" s="6"/>
      <c r="AN50" s="6"/>
      <c r="AO50" s="6"/>
    </row>
    <row r="51" spans="1:41" ht="50.5" x14ac:dyDescent="0.3">
      <c r="A51" s="7">
        <f ca="1">IFERROR(__xludf.DUMMYFUNCTION("""COMPUTED_VALUE"""),924)</f>
        <v>924</v>
      </c>
      <c r="B51" s="7" t="str">
        <f ca="1">IFERROR(__xludf.DUMMYFUNCTION("""COMPUTED_VALUE"""),"23.13.00321")</f>
        <v>23.13.00321</v>
      </c>
      <c r="C51" s="7" t="str">
        <f ca="1">IFERROR(__xludf.DUMMYFUNCTION("""COMPUTED_VALUE"""),"PT GALANGAN BAHARI UTAMA")</f>
        <v>PT GALANGAN BAHARI UTAMA</v>
      </c>
      <c r="D51" s="7" t="str">
        <f ca="1">IFERROR(__xludf.DUMMYFUNCTION("""COMPUTED_VALUE"""),"89630227012/natasyaef@hotmail.com")</f>
        <v>89630227012/natasyaef@hotmail.com</v>
      </c>
      <c r="E51" s="7" t="str">
        <f ca="1">IFERROR(__xludf.DUMMYFUNCTION("""COMPUTED_VALUE"""),"JL. PANTAI INDAH SELATAN, RUKO ELANG LAUT BOULEVARD BLOK F NO. 25, KELURAHAN KAPUK MUARA, KECAMATAN PENJARINGAN, KOTA JAKARTA UTARA, PROVINSI DKI JAKARTA")</f>
        <v>JL. PANTAI INDAH SELATAN, RUKO ELANG LAUT BOULEVARD BLOK F NO. 25, KELURAHAN KAPUK MUARA, KECAMATAN PENJARINGAN, KOTA JAKARTA UTARA, PROVINSI DKI JAKARTA</v>
      </c>
      <c r="F51" s="7" t="str">
        <f ca="1">IFERROR(__xludf.DUMMYFUNCTION("""COMPUTED_VALUE"""),"PERSETUJUAN")</f>
        <v>PERSETUJUAN</v>
      </c>
      <c r="G51" s="7" t="str">
        <f ca="1">IFERROR(__xludf.DUMMYFUNCTION("""COMPUTED_VALUE"""),"BERUSAHA")</f>
        <v>BERUSAHA</v>
      </c>
      <c r="H51" s="7" t="str">
        <f ca="1">IFERROR(__xludf.DUMMYFUNCTION("""COMPUTED_VALUE"""),"SULAWESI TENGGARA")</f>
        <v>SULAWESI TENGGARA</v>
      </c>
      <c r="I51" s="7" t="str">
        <f ca="1">IFERROR(__xludf.DUMMYFUNCTION("""COMPUTED_VALUE"""),"LAUT BANDA")</f>
        <v>LAUT BANDA</v>
      </c>
      <c r="J51" s="7" t="str">
        <f ca="1">IFERROR(__xludf.DUMMYFUNCTION("""COMPUTED_VALUE"""),"PEMBANGUNAN INDUSTRI GALANGAN KAPAL")</f>
        <v>PEMBANGUNAN INDUSTRI GALANGAN KAPAL</v>
      </c>
      <c r="K51" s="7">
        <f ca="1">IFERROR(__xludf.DUMMYFUNCTION("""COMPUTED_VALUE"""),7.79)</f>
        <v>7.79</v>
      </c>
      <c r="L51" s="7" t="str">
        <f ca="1">IFERROR(__xludf.DUMMYFUNCTION("""COMPUTED_VALUE"""),"ha")</f>
        <v>ha</v>
      </c>
      <c r="M51" s="7"/>
      <c r="N51" s="7"/>
      <c r="O51" s="14">
        <f ca="1">IFERROR(__xludf.DUMMYFUNCTION("""COMPUTED_VALUE"""),2082310517400010)</f>
        <v>2082310517400010</v>
      </c>
      <c r="P51" s="8">
        <f ca="1">IFERROR(__xludf.DUMMYFUNCTION("""COMPUTED_VALUE"""),45140)</f>
        <v>45140</v>
      </c>
      <c r="Q51" s="7"/>
      <c r="R51" s="7" t="str">
        <f ca="1">IFERROR(__xludf.DUMMYFUNCTION("""COMPUTED_VALUE"""),"Tidak Menyampaikan Laporan")</f>
        <v>Tidak Menyampaikan Laporan</v>
      </c>
      <c r="S51" s="8">
        <f ca="1">IFERROR(__xludf.DUMMYFUNCTION("""COMPUTED_VALUE"""),45730)</f>
        <v>45730</v>
      </c>
      <c r="T51" s="7"/>
      <c r="U51" s="7"/>
      <c r="V51" s="7"/>
      <c r="W51" s="7"/>
      <c r="X51" s="7"/>
      <c r="Y51" s="7"/>
      <c r="Z51" s="7"/>
      <c r="AA51" s="7" t="str">
        <f ca="1">IFERROR(__xludf.DUMMYFUNCTION("""COMPUTED_VALUE"""),"SP1")</f>
        <v>SP1</v>
      </c>
      <c r="AB51" s="9" t="str">
        <f ca="1">IFERROR(__xludf.DUMMYFUNCTION("""COMPUTED_VALUE"""),"TIDAK MENYAMPAIKAN LAPORAN 1")</f>
        <v>TIDAK MENYAMPAIKAN LAPORAN 1</v>
      </c>
      <c r="AC51" s="9"/>
      <c r="AD51" s="9"/>
      <c r="AE51" s="9"/>
      <c r="AF51" s="7" t="str">
        <f ca="1">IFERROR(__xludf.DUMMYFUNCTION("""COMPUTED_VALUE"""),"BITUNG")</f>
        <v>BITUNG</v>
      </c>
      <c r="AG51" s="7"/>
      <c r="AH51" s="7"/>
      <c r="AI51" s="7"/>
      <c r="AJ51" s="7"/>
      <c r="AK51" s="6"/>
      <c r="AL51" s="6"/>
      <c r="AM51" s="6"/>
      <c r="AN51" s="6"/>
      <c r="AO51" s="6"/>
    </row>
    <row r="52" spans="1:41" ht="25.5" x14ac:dyDescent="0.3">
      <c r="A52" s="7">
        <f ca="1">IFERROR(__xludf.DUMMYFUNCTION("""COMPUTED_VALUE"""),942)</f>
        <v>942</v>
      </c>
      <c r="B52" s="7" t="str">
        <f ca="1">IFERROR(__xludf.DUMMYFUNCTION("""COMPUTED_VALUE"""),"23.13.00341")</f>
        <v>23.13.00341</v>
      </c>
      <c r="C52" s="7" t="str">
        <f ca="1">IFERROR(__xludf.DUMMYFUNCTION("""COMPUTED_VALUE"""),"PT WIRA ENERGI UTAMA")</f>
        <v>PT WIRA ENERGI UTAMA</v>
      </c>
      <c r="D52" s="7" t="str">
        <f ca="1">IFERROR(__xludf.DUMMYFUNCTION("""COMPUTED_VALUE"""),"")</f>
        <v/>
      </c>
      <c r="E52" s="7" t="str">
        <f ca="1">IFERROR(__xludf.DUMMYFUNCTION("""COMPUTED_VALUE"""),"TAMAN SARI CLUSTER LIHAGA BLOK H3-3, KELURAHAN PANIKI BAWAH, KECAMATAN MAPANGET, KOTA MANADO, PROVINSI SULAWESI UTARA")</f>
        <v>TAMAN SARI CLUSTER LIHAGA BLOK H3-3, KELURAHAN PANIKI BAWAH, KECAMATAN MAPANGET, KOTA MANADO, PROVINSI SULAWESI UTARA</v>
      </c>
      <c r="F52" s="7" t="str">
        <f ca="1">IFERROR(__xludf.DUMMYFUNCTION("""COMPUTED_VALUE"""),"PERSETUJUAN")</f>
        <v>PERSETUJUAN</v>
      </c>
      <c r="G52" s="7" t="str">
        <f ca="1">IFERROR(__xludf.DUMMYFUNCTION("""COMPUTED_VALUE"""),"BERUSAHA")</f>
        <v>BERUSAHA</v>
      </c>
      <c r="H52" s="7" t="str">
        <f ca="1">IFERROR(__xludf.DUMMYFUNCTION("""COMPUTED_VALUE"""),"SULAWESI UTARA")</f>
        <v>SULAWESI UTARA</v>
      </c>
      <c r="I52" s="7" t="str">
        <f ca="1">IFERROR(__xludf.DUMMYFUNCTION("""COMPUTED_VALUE"""),"LAUT MALUKU")</f>
        <v>LAUT MALUKU</v>
      </c>
      <c r="J52" s="7" t="str">
        <f ca="1">IFERROR(__xludf.DUMMYFUNCTION("""COMPUTED_VALUE"""),"PEMBANGUNAN DERMAGA")</f>
        <v>PEMBANGUNAN DERMAGA</v>
      </c>
      <c r="K52" s="7">
        <f ca="1">IFERROR(__xludf.DUMMYFUNCTION("""COMPUTED_VALUE"""),2.12)</f>
        <v>2.12</v>
      </c>
      <c r="L52" s="7" t="str">
        <f ca="1">IFERROR(__xludf.DUMMYFUNCTION("""COMPUTED_VALUE"""),"ha")</f>
        <v>ha</v>
      </c>
      <c r="M52" s="7"/>
      <c r="N52" s="7"/>
      <c r="O52" s="7" t="str">
        <f ca="1">IFERROR(__xludf.DUMMYFUNCTION("""COMPUTED_VALUE"""),"03082310517100005")</f>
        <v>03082310517100005</v>
      </c>
      <c r="P52" s="8">
        <f ca="1">IFERROR(__xludf.DUMMYFUNCTION("""COMPUTED_VALUE"""),45141)</f>
        <v>45141</v>
      </c>
      <c r="Q52" s="8">
        <f ca="1">IFERROR(__xludf.DUMMYFUNCTION("""COMPUTED_VALUE"""),45523)</f>
        <v>45523</v>
      </c>
      <c r="R52" s="7" t="str">
        <f ca="1">IFERROR(__xludf.DUMMYFUNCTION("""COMPUTED_VALUE"""),"Terlambat")</f>
        <v>Terlambat</v>
      </c>
      <c r="S52" s="8"/>
      <c r="T52" s="7"/>
      <c r="U52" s="7"/>
      <c r="V52" s="7"/>
      <c r="W52" s="7"/>
      <c r="X52" s="7"/>
      <c r="Y52" s="7"/>
      <c r="Z52" s="7"/>
      <c r="AA52" s="7" t="str">
        <f ca="1">IFERROR(__xludf.DUMMYFUNCTION("""COMPUTED_VALUE"""),"SP1")</f>
        <v>SP1</v>
      </c>
      <c r="AB52" s="9" t="str">
        <f ca="1">IFERROR(__xludf.DUMMYFUNCTION("""COMPUTED_VALUE"""),"LAPORAN 1 TERLAMBAT")</f>
        <v>LAPORAN 1 TERLAMBAT</v>
      </c>
      <c r="AC52" s="9"/>
      <c r="AD52" s="9"/>
      <c r="AE52" s="11"/>
      <c r="AF52" s="7" t="str">
        <f ca="1">IFERROR(__xludf.DUMMYFUNCTION("""COMPUTED_VALUE"""),"BITUNG")</f>
        <v>BITUNG</v>
      </c>
      <c r="AG52" s="8"/>
      <c r="AH52" s="7"/>
      <c r="AI52" s="7"/>
      <c r="AJ52" s="7"/>
      <c r="AK52" s="6"/>
      <c r="AL52" s="6"/>
      <c r="AM52" s="6"/>
      <c r="AN52" s="6"/>
      <c r="AO52" s="6"/>
    </row>
    <row r="53" spans="1:41" ht="25.5" x14ac:dyDescent="0.3">
      <c r="A53" s="7">
        <f ca="1">IFERROR(__xludf.DUMMYFUNCTION("""COMPUTED_VALUE"""),952)</f>
        <v>952</v>
      </c>
      <c r="B53" s="7" t="str">
        <f ca="1">IFERROR(__xludf.DUMMYFUNCTION("""COMPUTED_VALUE"""),"23.13.00352")</f>
        <v>23.13.00352</v>
      </c>
      <c r="C53" s="7" t="str">
        <f ca="1">IFERROR(__xludf.DUMMYFUNCTION("""COMPUTED_VALUE"""),"PT AGRO MAKMUR RAYA")</f>
        <v>PT AGRO MAKMUR RAYA</v>
      </c>
      <c r="D53" s="7" t="str">
        <f ca="1">IFERROR(__xludf.DUMMYFUNCTION("""COMPUTED_VALUE"""),"08116075293 / amr.ca@indamr.com")</f>
        <v>08116075293 / amr.ca@indamr.com</v>
      </c>
      <c r="E53" s="7" t="str">
        <f ca="1">IFERROR(__xludf.DUMMYFUNCTION("""COMPUTED_VALUE"""),"SPRING TOWER 03-32, JL. KL YOS SUDARSO, KELURAHAN TANJUNG MULIA, KECAMATAN MEDAN DELI, KOTA MEDAN, PROVINSI SUMATERA UTARA")</f>
        <v>SPRING TOWER 03-32, JL. KL YOS SUDARSO, KELURAHAN TANJUNG MULIA, KECAMATAN MEDAN DELI, KOTA MEDAN, PROVINSI SUMATERA UTARA</v>
      </c>
      <c r="F53" s="7" t="str">
        <f ca="1">IFERROR(__xludf.DUMMYFUNCTION("""COMPUTED_VALUE"""),"PERSETUJUAN")</f>
        <v>PERSETUJUAN</v>
      </c>
      <c r="G53" s="7" t="str">
        <f ca="1">IFERROR(__xludf.DUMMYFUNCTION("""COMPUTED_VALUE"""),"BERUSAHA")</f>
        <v>BERUSAHA</v>
      </c>
      <c r="H53" s="7" t="str">
        <f ca="1">IFERROR(__xludf.DUMMYFUNCTION("""COMPUTED_VALUE"""),"SULAWESI UTARA")</f>
        <v>SULAWESI UTARA</v>
      </c>
      <c r="I53" s="7" t="str">
        <f ca="1">IFERROR(__xludf.DUMMYFUNCTION("""COMPUTED_VALUE"""),"LAUT MALUKU")</f>
        <v>LAUT MALUKU</v>
      </c>
      <c r="J53" s="7" t="str">
        <f ca="1">IFERROR(__xludf.DUMMYFUNCTION("""COMPUTED_VALUE"""),"PENGAMBILAN AIR LAUT")</f>
        <v>PENGAMBILAN AIR LAUT</v>
      </c>
      <c r="K53" s="7">
        <f ca="1">IFERROR(__xludf.DUMMYFUNCTION("""COMPUTED_VALUE"""),3.94)</f>
        <v>3.94</v>
      </c>
      <c r="L53" s="7" t="str">
        <f ca="1">IFERROR(__xludf.DUMMYFUNCTION("""COMPUTED_VALUE"""),"ha")</f>
        <v>ha</v>
      </c>
      <c r="M53" s="7"/>
      <c r="N53" s="7"/>
      <c r="O53" s="7" t="str">
        <f ca="1">IFERROR(__xludf.DUMMYFUNCTION("""COMPUTED_VALUE"""),"04082310517100006")</f>
        <v>04082310517100006</v>
      </c>
      <c r="P53" s="8">
        <f ca="1">IFERROR(__xludf.DUMMYFUNCTION("""COMPUTED_VALUE"""),45142)</f>
        <v>45142</v>
      </c>
      <c r="Q53" s="8">
        <f ca="1">IFERROR(__xludf.DUMMYFUNCTION("""COMPUTED_VALUE"""),45573)</f>
        <v>45573</v>
      </c>
      <c r="R53" s="7" t="str">
        <f ca="1">IFERROR(__xludf.DUMMYFUNCTION("""COMPUTED_VALUE"""),"Terlambat")</f>
        <v>Terlambat</v>
      </c>
      <c r="S53" s="7"/>
      <c r="T53" s="7"/>
      <c r="U53" s="7"/>
      <c r="V53" s="7"/>
      <c r="W53" s="7"/>
      <c r="X53" s="7"/>
      <c r="Y53" s="7"/>
      <c r="Z53" s="7"/>
      <c r="AA53" s="7" t="str">
        <f ca="1">IFERROR(__xludf.DUMMYFUNCTION("""COMPUTED_VALUE"""),"SP1")</f>
        <v>SP1</v>
      </c>
      <c r="AB53" s="9" t="str">
        <f ca="1">IFERROR(__xludf.DUMMYFUNCTION("""COMPUTED_VALUE"""),"LAPORAN 1 TERLAMBAT")</f>
        <v>LAPORAN 1 TERLAMBAT</v>
      </c>
      <c r="AC53" s="9"/>
      <c r="AD53" s="9"/>
      <c r="AE53" s="11"/>
      <c r="AF53" s="7" t="str">
        <f ca="1">IFERROR(__xludf.DUMMYFUNCTION("""COMPUTED_VALUE"""),"BITUNG")</f>
        <v>BITUNG</v>
      </c>
      <c r="AG53" s="8"/>
      <c r="AH53" s="7"/>
      <c r="AI53" s="7"/>
      <c r="AJ53" s="7"/>
      <c r="AK53" s="6"/>
      <c r="AL53" s="6"/>
      <c r="AM53" s="6"/>
      <c r="AN53" s="6"/>
      <c r="AO53" s="6"/>
    </row>
    <row r="54" spans="1:41" ht="50.5" x14ac:dyDescent="0.3">
      <c r="A54" s="7">
        <f ca="1">IFERROR(__xludf.DUMMYFUNCTION("""COMPUTED_VALUE"""),956)</f>
        <v>956</v>
      </c>
      <c r="B54" s="7" t="str">
        <f ca="1">IFERROR(__xludf.DUMMYFUNCTION("""COMPUTED_VALUE"""),"23.13.00353")</f>
        <v>23.13.00353</v>
      </c>
      <c r="C54" s="7" t="str">
        <f ca="1">IFERROR(__xludf.DUMMYFUNCTION("""COMPUTED_VALUE"""),"PT SOLITUDE RESORTS INDONESIA")</f>
        <v>PT SOLITUDE RESORTS INDONESIA</v>
      </c>
      <c r="D54" s="7" t="str">
        <f ca="1">IFERROR(__xludf.DUMMYFUNCTION("""COMPUTED_VALUE"""),"08114322227 / sasti@solitude-lembeh.com")</f>
        <v>08114322227 / sasti@solitude-lembeh.com</v>
      </c>
      <c r="E54" s="7" t="str">
        <f ca="1">IFERROR(__xludf.DUMMYFUNCTION("""COMPUTED_VALUE"""),"JL. MAKAWIDEY, KOTA BITUNG, PROVINSI SULAWESI TENGGARA")</f>
        <v>JL. MAKAWIDEY, KOTA BITUNG, PROVINSI SULAWESI TENGGARA</v>
      </c>
      <c r="F54" s="7" t="str">
        <f ca="1">IFERROR(__xludf.DUMMYFUNCTION("""COMPUTED_VALUE"""),"PERSETUJUAN")</f>
        <v>PERSETUJUAN</v>
      </c>
      <c r="G54" s="7" t="str">
        <f ca="1">IFERROR(__xludf.DUMMYFUNCTION("""COMPUTED_VALUE"""),"BERUSAHA")</f>
        <v>BERUSAHA</v>
      </c>
      <c r="H54" s="7" t="str">
        <f ca="1">IFERROR(__xludf.DUMMYFUNCTION("""COMPUTED_VALUE"""),"SULAWESI UTARA")</f>
        <v>SULAWESI UTARA</v>
      </c>
      <c r="I54" s="7" t="str">
        <f ca="1">IFERROR(__xludf.DUMMYFUNCTION("""COMPUTED_VALUE"""),"LAUT MALUKU")</f>
        <v>LAUT MALUKU</v>
      </c>
      <c r="J54" s="7" t="str">
        <f ca="1">IFERROR(__xludf.DUMMYFUNCTION("""COMPUTED_VALUE"""),"PEMBANGUNAN BREAKWATER")</f>
        <v>PEMBANGUNAN BREAKWATER</v>
      </c>
      <c r="K54" s="7">
        <f ca="1">IFERROR(__xludf.DUMMYFUNCTION("""COMPUTED_VALUE"""),0.42)</f>
        <v>0.42</v>
      </c>
      <c r="L54" s="7" t="str">
        <f ca="1">IFERROR(__xludf.DUMMYFUNCTION("""COMPUTED_VALUE"""),"ha")</f>
        <v>ha</v>
      </c>
      <c r="M54" s="7"/>
      <c r="N54" s="7"/>
      <c r="O54" s="7" t="str">
        <f ca="1">IFERROR(__xludf.DUMMYFUNCTION("""COMPUTED_VALUE"""),"07082310517100007")</f>
        <v>07082310517100007</v>
      </c>
      <c r="P54" s="8">
        <f ca="1">IFERROR(__xludf.DUMMYFUNCTION("""COMPUTED_VALUE"""),45145)</f>
        <v>45145</v>
      </c>
      <c r="Q54" s="8"/>
      <c r="R54" s="7" t="str">
        <f ca="1">IFERROR(__xludf.DUMMYFUNCTION("""COMPUTED_VALUE"""),"Tidak Menyampaikan Laporan")</f>
        <v>Tidak Menyampaikan Laporan</v>
      </c>
      <c r="S54" s="7"/>
      <c r="T54" s="7"/>
      <c r="U54" s="7"/>
      <c r="V54" s="7"/>
      <c r="W54" s="7"/>
      <c r="X54" s="7"/>
      <c r="Y54" s="7"/>
      <c r="Z54" s="7"/>
      <c r="AA54" s="7" t="str">
        <f ca="1">IFERROR(__xludf.DUMMYFUNCTION("""COMPUTED_VALUE"""),"SP1")</f>
        <v>SP1</v>
      </c>
      <c r="AB54" s="9" t="str">
        <f ca="1">IFERROR(__xludf.DUMMYFUNCTION("""COMPUTED_VALUE"""),"TIDAK MENYAMPAIKAN LAPORAN 1")</f>
        <v>TIDAK MENYAMPAIKAN LAPORAN 1</v>
      </c>
      <c r="AC54" s="9"/>
      <c r="AD54" s="9"/>
      <c r="AE54" s="11"/>
      <c r="AF54" s="7" t="str">
        <f ca="1">IFERROR(__xludf.DUMMYFUNCTION("""COMPUTED_VALUE"""),"BITUNG")</f>
        <v>BITUNG</v>
      </c>
      <c r="AG54" s="8"/>
      <c r="AH54" s="7"/>
      <c r="AI54" s="7"/>
      <c r="AJ54" s="7"/>
      <c r="AK54" s="6"/>
      <c r="AL54" s="6"/>
      <c r="AM54" s="6"/>
      <c r="AN54" s="6"/>
      <c r="AO54" s="6"/>
    </row>
    <row r="55" spans="1:41" ht="25.5" x14ac:dyDescent="0.3">
      <c r="A55" s="7">
        <f ca="1">IFERROR(__xludf.DUMMYFUNCTION("""COMPUTED_VALUE"""),986)</f>
        <v>986</v>
      </c>
      <c r="B55" s="7" t="str">
        <f ca="1">IFERROR(__xludf.DUMMYFUNCTION("""COMPUTED_VALUE"""),"23.13.00382")</f>
        <v>23.13.00382</v>
      </c>
      <c r="C55" s="7" t="str">
        <f ca="1">IFERROR(__xludf.DUMMYFUNCTION("""COMPUTED_VALUE"""),"PT PERTAMINA PATRA NIAGA")</f>
        <v>PT PERTAMINA PATRA NIAGA</v>
      </c>
      <c r="D55" s="7" t="str">
        <f ca="1">IFERROR(__xludf.DUMMYFUNCTION("""COMPUTED_VALUE"""),"0215209009 / perizinan.ppn@pertamina.com")</f>
        <v>0215209009 / perizinan.ppn@pertamina.com</v>
      </c>
      <c r="E55" s="7" t="str">
        <f ca="1">IFERROR(__xludf.DUMMYFUNCTION("""COMPUTED_VALUE"""),"GEDUNG WISMA TUGU II LT. 2, JL. HR. RASUNA SAID KAV. C7-9, KELURAHAN KARET KUNINGAN, KECAMATAN SETIABUDI, KOTA JAKARTA SELATAN, PROVINSI DKI JAKARTA")</f>
        <v>GEDUNG WISMA TUGU II LT. 2, JL. HR. RASUNA SAID KAV. C7-9, KELURAHAN KARET KUNINGAN, KECAMATAN SETIABUDI, KOTA JAKARTA SELATAN, PROVINSI DKI JAKARTA</v>
      </c>
      <c r="F55" s="7" t="str">
        <f ca="1">IFERROR(__xludf.DUMMYFUNCTION("""COMPUTED_VALUE"""),"PERSETUJUAN")</f>
        <v>PERSETUJUAN</v>
      </c>
      <c r="G55" s="7" t="str">
        <f ca="1">IFERROR(__xludf.DUMMYFUNCTION("""COMPUTED_VALUE"""),"BERUSAHA")</f>
        <v>BERUSAHA</v>
      </c>
      <c r="H55" s="7" t="str">
        <f ca="1">IFERROR(__xludf.DUMMYFUNCTION("""COMPUTED_VALUE"""),"SULAWESI TENGGARA")</f>
        <v>SULAWESI TENGGARA</v>
      </c>
      <c r="I55" s="7" t="str">
        <f ca="1">IFERROR(__xludf.DUMMYFUNCTION("""COMPUTED_VALUE"""),"TELUK BONE")</f>
        <v>TELUK BONE</v>
      </c>
      <c r="J55" s="7" t="str">
        <f ca="1">IFERROR(__xludf.DUMMYFUNCTION("""COMPUTED_VALUE"""),"FUEL TERMINAL KOLAKA")</f>
        <v>FUEL TERMINAL KOLAKA</v>
      </c>
      <c r="K55" s="7">
        <f ca="1">IFERROR(__xludf.DUMMYFUNCTION("""COMPUTED_VALUE"""),13.2)</f>
        <v>13.2</v>
      </c>
      <c r="L55" s="7" t="str">
        <f ca="1">IFERROR(__xludf.DUMMYFUNCTION("""COMPUTED_VALUE"""),"ha")</f>
        <v>ha</v>
      </c>
      <c r="M55" s="7"/>
      <c r="N55" s="7"/>
      <c r="O55" s="7" t="str">
        <f ca="1">IFERROR(__xludf.DUMMYFUNCTION("""COMPUTED_VALUE"""),"11082310517400014")</f>
        <v>11082310517400014</v>
      </c>
      <c r="P55" s="8">
        <f ca="1">IFERROR(__xludf.DUMMYFUNCTION("""COMPUTED_VALUE"""),45149)</f>
        <v>45149</v>
      </c>
      <c r="Q55" s="8">
        <f ca="1">IFERROR(__xludf.DUMMYFUNCTION("""COMPUTED_VALUE"""),45664)</f>
        <v>45664</v>
      </c>
      <c r="R55" s="7" t="str">
        <f ca="1">IFERROR(__xludf.DUMMYFUNCTION("""COMPUTED_VALUE"""),"Terlambat")</f>
        <v>Terlambat</v>
      </c>
      <c r="S55" s="7"/>
      <c r="T55" s="7"/>
      <c r="U55" s="7"/>
      <c r="V55" s="7"/>
      <c r="W55" s="7"/>
      <c r="X55" s="7"/>
      <c r="Y55" s="7"/>
      <c r="Z55" s="7"/>
      <c r="AA55" s="7" t="str">
        <f ca="1">IFERROR(__xludf.DUMMYFUNCTION("""COMPUTED_VALUE"""),"SP1")</f>
        <v>SP1</v>
      </c>
      <c r="AB55" s="9" t="str">
        <f ca="1">IFERROR(__xludf.DUMMYFUNCTION("""COMPUTED_VALUE"""),"LAPORAN 1 TERLAMBAT")</f>
        <v>LAPORAN 1 TERLAMBAT</v>
      </c>
      <c r="AC55" s="9"/>
      <c r="AD55" s="9"/>
      <c r="AE55" s="11"/>
      <c r="AF55" s="7" t="str">
        <f ca="1">IFERROR(__xludf.DUMMYFUNCTION("""COMPUTED_VALUE"""),"BITUNG")</f>
        <v>BITUNG</v>
      </c>
      <c r="AG55" s="8"/>
      <c r="AH55" s="7"/>
      <c r="AI55" s="7"/>
      <c r="AJ55" s="7"/>
      <c r="AK55" s="6"/>
      <c r="AL55" s="6"/>
      <c r="AM55" s="6"/>
      <c r="AN55" s="6"/>
      <c r="AO55" s="6"/>
    </row>
    <row r="56" spans="1:41" ht="25.5" x14ac:dyDescent="0.3">
      <c r="A56" s="7">
        <f ca="1">IFERROR(__xludf.DUMMYFUNCTION("""COMPUTED_VALUE"""),987)</f>
        <v>987</v>
      </c>
      <c r="B56" s="7" t="str">
        <f ca="1">IFERROR(__xludf.DUMMYFUNCTION("""COMPUTED_VALUE"""),"23.13.00383")</f>
        <v>23.13.00383</v>
      </c>
      <c r="C56" s="7" t="str">
        <f ca="1">IFERROR(__xludf.DUMMYFUNCTION("""COMPUTED_VALUE"""),"PT PERTAMINA PATRA NIAGA")</f>
        <v>PT PERTAMINA PATRA NIAGA</v>
      </c>
      <c r="D56" s="7" t="str">
        <f ca="1">IFERROR(__xludf.DUMMYFUNCTION("""COMPUTED_VALUE"""),"0215209009 / perizinan.ppn@pertamina.com")</f>
        <v>0215209009 / perizinan.ppn@pertamina.com</v>
      </c>
      <c r="E56" s="7" t="str">
        <f ca="1">IFERROR(__xludf.DUMMYFUNCTION("""COMPUTED_VALUE"""),"GEDUNG WISMA TUGU II LT. 2, JL. HR. RASUNA SAID KAV. C7-9, KELURAHAN KARET KUNINGAN, KECAMATAN SETIABUDI, KOTA JAKARTA SELATAN, PROVINSI DKI JAKARTA")</f>
        <v>GEDUNG WISMA TUGU II LT. 2, JL. HR. RASUNA SAID KAV. C7-9, KELURAHAN KARET KUNINGAN, KECAMATAN SETIABUDI, KOTA JAKARTA SELATAN, PROVINSI DKI JAKARTA</v>
      </c>
      <c r="F56" s="7" t="str">
        <f ca="1">IFERROR(__xludf.DUMMYFUNCTION("""COMPUTED_VALUE"""),"PERSETUJUAN")</f>
        <v>PERSETUJUAN</v>
      </c>
      <c r="G56" s="7" t="str">
        <f ca="1">IFERROR(__xludf.DUMMYFUNCTION("""COMPUTED_VALUE"""),"BERUSAHA")</f>
        <v>BERUSAHA</v>
      </c>
      <c r="H56" s="7" t="str">
        <f ca="1">IFERROR(__xludf.DUMMYFUNCTION("""COMPUTED_VALUE"""),"SULAWESI TENGAH")</f>
        <v>SULAWESI TENGAH</v>
      </c>
      <c r="I56" s="7" t="str">
        <f ca="1">IFERROR(__xludf.DUMMYFUNCTION("""COMPUTED_VALUE"""),"TELUK TOMINI")</f>
        <v>TELUK TOMINI</v>
      </c>
      <c r="J56" s="7" t="str">
        <f ca="1">IFERROR(__xludf.DUMMYFUNCTION("""COMPUTED_VALUE"""),"SUBMARINE PIPELINE 3 FUEL TERMINAL MOUTONG")</f>
        <v>SUBMARINE PIPELINE 3 FUEL TERMINAL MOUTONG</v>
      </c>
      <c r="K56" s="7"/>
      <c r="L56" s="7"/>
      <c r="M56" s="7">
        <f ca="1">IFERROR(__xludf.DUMMYFUNCTION("""COMPUTED_VALUE"""),0.33)</f>
        <v>0.33</v>
      </c>
      <c r="N56" s="7" t="str">
        <f ca="1">IFERROR(__xludf.DUMMYFUNCTION("""COMPUTED_VALUE"""),"km")</f>
        <v>km</v>
      </c>
      <c r="O56" s="7" t="str">
        <f ca="1">IFERROR(__xludf.DUMMYFUNCTION("""COMPUTED_VALUE"""),"11082310517200002")</f>
        <v>11082310517200002</v>
      </c>
      <c r="P56" s="8">
        <f ca="1">IFERROR(__xludf.DUMMYFUNCTION("""COMPUTED_VALUE"""),45149)</f>
        <v>45149</v>
      </c>
      <c r="Q56" s="8">
        <f ca="1">IFERROR(__xludf.DUMMYFUNCTION("""COMPUTED_VALUE"""),45660)</f>
        <v>45660</v>
      </c>
      <c r="R56" s="7" t="str">
        <f ca="1">IFERROR(__xludf.DUMMYFUNCTION("""COMPUTED_VALUE"""),"Terlambat")</f>
        <v>Terlambat</v>
      </c>
      <c r="S56" s="7"/>
      <c r="T56" s="7"/>
      <c r="U56" s="7"/>
      <c r="V56" s="7"/>
      <c r="W56" s="7"/>
      <c r="X56" s="7"/>
      <c r="Y56" s="7"/>
      <c r="Z56" s="7"/>
      <c r="AA56" s="7" t="str">
        <f ca="1">IFERROR(__xludf.DUMMYFUNCTION("""COMPUTED_VALUE"""),"SP1")</f>
        <v>SP1</v>
      </c>
      <c r="AB56" s="9" t="str">
        <f ca="1">IFERROR(__xludf.DUMMYFUNCTION("""COMPUTED_VALUE"""),"LAPORAN 1 TERLAMBAT")</f>
        <v>LAPORAN 1 TERLAMBAT</v>
      </c>
      <c r="AC56" s="9"/>
      <c r="AD56" s="9"/>
      <c r="AE56" s="11"/>
      <c r="AF56" s="7" t="str">
        <f ca="1">IFERROR(__xludf.DUMMYFUNCTION("""COMPUTED_VALUE"""),"BITUNG")</f>
        <v>BITUNG</v>
      </c>
      <c r="AG56" s="8"/>
      <c r="AH56" s="7"/>
      <c r="AI56" s="7"/>
      <c r="AJ56" s="7"/>
      <c r="AK56" s="6"/>
      <c r="AL56" s="6"/>
      <c r="AM56" s="6"/>
      <c r="AN56" s="6"/>
      <c r="AO56" s="6"/>
    </row>
    <row r="57" spans="1:41" ht="50.5" x14ac:dyDescent="0.3">
      <c r="A57" s="7">
        <f ca="1">IFERROR(__xludf.DUMMYFUNCTION("""COMPUTED_VALUE"""),988)</f>
        <v>988</v>
      </c>
      <c r="B57" s="7" t="str">
        <f ca="1">IFERROR(__xludf.DUMMYFUNCTION("""COMPUTED_VALUE"""),"23.13.00384")</f>
        <v>23.13.00384</v>
      </c>
      <c r="C57" s="7" t="str">
        <f ca="1">IFERROR(__xludf.DUMMYFUNCTION("""COMPUTED_VALUE"""),"PT PERTAMINA PATRA NIAGA")</f>
        <v>PT PERTAMINA PATRA NIAGA</v>
      </c>
      <c r="D57" s="7" t="str">
        <f ca="1">IFERROR(__xludf.DUMMYFUNCTION("""COMPUTED_VALUE"""),"0215209009 / perizinan.ppn@pertamina.com")</f>
        <v>0215209009 / perizinan.ppn@pertamina.com</v>
      </c>
      <c r="E57" s="7" t="str">
        <f ca="1">IFERROR(__xludf.DUMMYFUNCTION("""COMPUTED_VALUE"""),"GEDUNG WISMA TUGU II LT. 2, JL. HR. RASUNA SAID KAV. C7-9, KELURAHAN KARET KUNINGAN, KECAMATAN SETIABUDI, KOTA JAKARTA SELATAN, PROVINSI DKI JAKARTA")</f>
        <v>GEDUNG WISMA TUGU II LT. 2, JL. HR. RASUNA SAID KAV. C7-9, KELURAHAN KARET KUNINGAN, KECAMATAN SETIABUDI, KOTA JAKARTA SELATAN, PROVINSI DKI JAKARTA</v>
      </c>
      <c r="F57" s="7" t="str">
        <f ca="1">IFERROR(__xludf.DUMMYFUNCTION("""COMPUTED_VALUE"""),"PERSETUJUAN")</f>
        <v>PERSETUJUAN</v>
      </c>
      <c r="G57" s="7" t="str">
        <f ca="1">IFERROR(__xludf.DUMMYFUNCTION("""COMPUTED_VALUE"""),"BERUSAHA")</f>
        <v>BERUSAHA</v>
      </c>
      <c r="H57" s="7" t="str">
        <f ca="1">IFERROR(__xludf.DUMMYFUNCTION("""COMPUTED_VALUE"""),"SULAWESI TENGAH")</f>
        <v>SULAWESI TENGAH</v>
      </c>
      <c r="I57" s="7" t="str">
        <f ca="1">IFERROR(__xludf.DUMMYFUNCTION("""COMPUTED_VALUE"""),"TELUK TOMINI")</f>
        <v>TELUK TOMINI</v>
      </c>
      <c r="J57" s="7" t="str">
        <f ca="1">IFERROR(__xludf.DUMMYFUNCTION("""COMPUTED_VALUE"""),"FUEL TERMINAL MOUTONG")</f>
        <v>FUEL TERMINAL MOUTONG</v>
      </c>
      <c r="K57" s="7">
        <f ca="1">IFERROR(__xludf.DUMMYFUNCTION("""COMPUTED_VALUE"""),10.78)</f>
        <v>10.78</v>
      </c>
      <c r="L57" s="7" t="str">
        <f ca="1">IFERROR(__xludf.DUMMYFUNCTION("""COMPUTED_VALUE"""),"ha")</f>
        <v>ha</v>
      </c>
      <c r="M57" s="7"/>
      <c r="N57" s="7"/>
      <c r="O57" s="7" t="str">
        <f ca="1">IFERROR(__xludf.DUMMYFUNCTION("""COMPUTED_VALUE"""),"11082310517200001")</f>
        <v>11082310517200001</v>
      </c>
      <c r="P57" s="8">
        <f ca="1">IFERROR(__xludf.DUMMYFUNCTION("""COMPUTED_VALUE"""),45149)</f>
        <v>45149</v>
      </c>
      <c r="Q57" s="7"/>
      <c r="R57" s="7" t="str">
        <f ca="1">IFERROR(__xludf.DUMMYFUNCTION("""COMPUTED_VALUE"""),"Tidak Menyampaikan Laporan")</f>
        <v>Tidak Menyampaikan Laporan</v>
      </c>
      <c r="S57" s="7"/>
      <c r="T57" s="7"/>
      <c r="U57" s="7"/>
      <c r="V57" s="7"/>
      <c r="W57" s="7"/>
      <c r="X57" s="7"/>
      <c r="Y57" s="7"/>
      <c r="Z57" s="7"/>
      <c r="AA57" s="7" t="str">
        <f ca="1">IFERROR(__xludf.DUMMYFUNCTION("""COMPUTED_VALUE"""),"SP1")</f>
        <v>SP1</v>
      </c>
      <c r="AB57" s="9" t="str">
        <f ca="1">IFERROR(__xludf.DUMMYFUNCTION("""COMPUTED_VALUE"""),"TIDAK MENYAMPAIKAN LAPORAN 1")</f>
        <v>TIDAK MENYAMPAIKAN LAPORAN 1</v>
      </c>
      <c r="AC57" s="9"/>
      <c r="AD57" s="9"/>
      <c r="AE57" s="9"/>
      <c r="AF57" s="7" t="str">
        <f ca="1">IFERROR(__xludf.DUMMYFUNCTION("""COMPUTED_VALUE"""),"BITUNG")</f>
        <v>BITUNG</v>
      </c>
      <c r="AG57" s="7"/>
      <c r="AH57" s="7"/>
      <c r="AI57" s="7"/>
      <c r="AJ57" s="7"/>
      <c r="AK57" s="6"/>
      <c r="AL57" s="6"/>
      <c r="AM57" s="6"/>
      <c r="AN57" s="6"/>
      <c r="AO57" s="6"/>
    </row>
    <row r="58" spans="1:41" ht="25.5" x14ac:dyDescent="0.3">
      <c r="A58" s="7">
        <f ca="1">IFERROR(__xludf.DUMMYFUNCTION("""COMPUTED_VALUE"""),989)</f>
        <v>989</v>
      </c>
      <c r="B58" s="7" t="str">
        <f ca="1">IFERROR(__xludf.DUMMYFUNCTION("""COMPUTED_VALUE"""),"23.13.00385")</f>
        <v>23.13.00385</v>
      </c>
      <c r="C58" s="7" t="str">
        <f ca="1">IFERROR(__xludf.DUMMYFUNCTION("""COMPUTED_VALUE"""),"PT PERTAMINA PATRA NIAGA")</f>
        <v>PT PERTAMINA PATRA NIAGA</v>
      </c>
      <c r="D58" s="7" t="str">
        <f ca="1">IFERROR(__xludf.DUMMYFUNCTION("""COMPUTED_VALUE"""),"0215209009 / perizinan.ppn@pertamina.com")</f>
        <v>0215209009 / perizinan.ppn@pertamina.com</v>
      </c>
      <c r="E58" s="7" t="str">
        <f ca="1">IFERROR(__xludf.DUMMYFUNCTION("""COMPUTED_VALUE"""),"GEDUNG WISMA TUGU II LT. 2, JL. HR. RASUNA SAID KAV. C7-9, KELURAHAN KARET KUNINGAN, KECAMATAN SETIABUDI, KOTA JAKARTA SELATAN, PROVINSI DKI JAKARTA")</f>
        <v>GEDUNG WISMA TUGU II LT. 2, JL. HR. RASUNA SAID KAV. C7-9, KELURAHAN KARET KUNINGAN, KECAMATAN SETIABUDI, KOTA JAKARTA SELATAN, PROVINSI DKI JAKARTA</v>
      </c>
      <c r="F58" s="7" t="str">
        <f ca="1">IFERROR(__xludf.DUMMYFUNCTION("""COMPUTED_VALUE"""),"PERSETUJUAN")</f>
        <v>PERSETUJUAN</v>
      </c>
      <c r="G58" s="7" t="str">
        <f ca="1">IFERROR(__xludf.DUMMYFUNCTION("""COMPUTED_VALUE"""),"BERUSAHA")</f>
        <v>BERUSAHA</v>
      </c>
      <c r="H58" s="7" t="str">
        <f ca="1">IFERROR(__xludf.DUMMYFUNCTION("""COMPUTED_VALUE"""),"SULAWESI TENGAH")</f>
        <v>SULAWESI TENGAH</v>
      </c>
      <c r="I58" s="7" t="str">
        <f ca="1">IFERROR(__xludf.DUMMYFUNCTION("""COMPUTED_VALUE"""),"TELUK TOMINI")</f>
        <v>TELUK TOMINI</v>
      </c>
      <c r="J58" s="7" t="str">
        <f ca="1">IFERROR(__xludf.DUMMYFUNCTION("""COMPUTED_VALUE"""),"SUBMARINE PIPELINE 1 FUEL TERMINAL MOUTONG")</f>
        <v>SUBMARINE PIPELINE 1 FUEL TERMINAL MOUTONG</v>
      </c>
      <c r="K58" s="7"/>
      <c r="L58" s="7"/>
      <c r="M58" s="7">
        <f ca="1">IFERROR(__xludf.DUMMYFUNCTION("""COMPUTED_VALUE"""),0.33)</f>
        <v>0.33</v>
      </c>
      <c r="N58" s="7" t="str">
        <f ca="1">IFERROR(__xludf.DUMMYFUNCTION("""COMPUTED_VALUE"""),"km")</f>
        <v>km</v>
      </c>
      <c r="O58" s="7" t="str">
        <f ca="1">IFERROR(__xludf.DUMMYFUNCTION("""COMPUTED_VALUE"""),"11082310517200003")</f>
        <v>11082310517200003</v>
      </c>
      <c r="P58" s="8">
        <f ca="1">IFERROR(__xludf.DUMMYFUNCTION("""COMPUTED_VALUE"""),45149)</f>
        <v>45149</v>
      </c>
      <c r="Q58" s="8">
        <f ca="1">IFERROR(__xludf.DUMMYFUNCTION("""COMPUTED_VALUE"""),45660)</f>
        <v>45660</v>
      </c>
      <c r="R58" s="7" t="str">
        <f ca="1">IFERROR(__xludf.DUMMYFUNCTION("""COMPUTED_VALUE"""),"Terlambat")</f>
        <v>Terlambat</v>
      </c>
      <c r="S58" s="8"/>
      <c r="T58" s="7"/>
      <c r="U58" s="7"/>
      <c r="V58" s="7"/>
      <c r="W58" s="7"/>
      <c r="X58" s="7"/>
      <c r="Y58" s="7"/>
      <c r="Z58" s="7"/>
      <c r="AA58" s="7" t="str">
        <f ca="1">IFERROR(__xludf.DUMMYFUNCTION("""COMPUTED_VALUE"""),"SP1")</f>
        <v>SP1</v>
      </c>
      <c r="AB58" s="9" t="str">
        <f ca="1">IFERROR(__xludf.DUMMYFUNCTION("""COMPUTED_VALUE"""),"LAPORAN 1 TERLAMBAT")</f>
        <v>LAPORAN 1 TERLAMBAT</v>
      </c>
      <c r="AC58" s="9"/>
      <c r="AD58" s="9"/>
      <c r="AE58" s="11"/>
      <c r="AF58" s="7" t="str">
        <f ca="1">IFERROR(__xludf.DUMMYFUNCTION("""COMPUTED_VALUE"""),"BITUNG")</f>
        <v>BITUNG</v>
      </c>
      <c r="AG58" s="8"/>
      <c r="AH58" s="7"/>
      <c r="AI58" s="7"/>
      <c r="AJ58" s="7"/>
      <c r="AK58" s="6"/>
      <c r="AL58" s="6"/>
      <c r="AM58" s="6"/>
      <c r="AN58" s="6"/>
      <c r="AO58" s="6"/>
    </row>
    <row r="59" spans="1:41" ht="25.5" x14ac:dyDescent="0.3">
      <c r="A59" s="7">
        <f ca="1">IFERROR(__xludf.DUMMYFUNCTION("""COMPUTED_VALUE"""),990)</f>
        <v>990</v>
      </c>
      <c r="B59" s="7" t="str">
        <f ca="1">IFERROR(__xludf.DUMMYFUNCTION("""COMPUTED_VALUE"""),"23.13.00386")</f>
        <v>23.13.00386</v>
      </c>
      <c r="C59" s="7" t="str">
        <f ca="1">IFERROR(__xludf.DUMMYFUNCTION("""COMPUTED_VALUE"""),"PT PERTAMINA PATRA NIAGA")</f>
        <v>PT PERTAMINA PATRA NIAGA</v>
      </c>
      <c r="D59" s="7" t="str">
        <f ca="1">IFERROR(__xludf.DUMMYFUNCTION("""COMPUTED_VALUE"""),"0215209009 / perizinan.ppn@pertamina.com")</f>
        <v>0215209009 / perizinan.ppn@pertamina.com</v>
      </c>
      <c r="E59" s="7" t="str">
        <f ca="1">IFERROR(__xludf.DUMMYFUNCTION("""COMPUTED_VALUE"""),"GEDUNG WISMA TUGU II LT. 2, JL. HR. RASUNA SAID KAV. C7-9, KELURAHAN KARET KUNINGAN, KECAMATAN SETIABUDI, KOTA JAKARTA SELATAN, PROVINSI DKI JAKARTA")</f>
        <v>GEDUNG WISMA TUGU II LT. 2, JL. HR. RASUNA SAID KAV. C7-9, KELURAHAN KARET KUNINGAN, KECAMATAN SETIABUDI, KOTA JAKARTA SELATAN, PROVINSI DKI JAKARTA</v>
      </c>
      <c r="F59" s="7" t="str">
        <f ca="1">IFERROR(__xludf.DUMMYFUNCTION("""COMPUTED_VALUE"""),"PERSETUJUAN")</f>
        <v>PERSETUJUAN</v>
      </c>
      <c r="G59" s="7" t="str">
        <f ca="1">IFERROR(__xludf.DUMMYFUNCTION("""COMPUTED_VALUE"""),"BERUSAHA")</f>
        <v>BERUSAHA</v>
      </c>
      <c r="H59" s="7" t="str">
        <f ca="1">IFERROR(__xludf.DUMMYFUNCTION("""COMPUTED_VALUE"""),"SULAWESI TENGAH")</f>
        <v>SULAWESI TENGAH</v>
      </c>
      <c r="I59" s="7" t="str">
        <f ca="1">IFERROR(__xludf.DUMMYFUNCTION("""COMPUTED_VALUE"""),"TELUK TOMINI")</f>
        <v>TELUK TOMINI</v>
      </c>
      <c r="J59" s="7" t="str">
        <f ca="1">IFERROR(__xludf.DUMMYFUNCTION("""COMPUTED_VALUE"""),"SUBMARINE PIPELINE 2 FUEL TERMINAL MOUTONG")</f>
        <v>SUBMARINE PIPELINE 2 FUEL TERMINAL MOUTONG</v>
      </c>
      <c r="K59" s="7"/>
      <c r="L59" s="7"/>
      <c r="M59" s="7">
        <f ca="1">IFERROR(__xludf.DUMMYFUNCTION("""COMPUTED_VALUE"""),0.33)</f>
        <v>0.33</v>
      </c>
      <c r="N59" s="7" t="str">
        <f ca="1">IFERROR(__xludf.DUMMYFUNCTION("""COMPUTED_VALUE"""),"km")</f>
        <v>km</v>
      </c>
      <c r="O59" s="7" t="str">
        <f ca="1">IFERROR(__xludf.DUMMYFUNCTION("""COMPUTED_VALUE"""),"11082310517200004")</f>
        <v>11082310517200004</v>
      </c>
      <c r="P59" s="8">
        <f ca="1">IFERROR(__xludf.DUMMYFUNCTION("""COMPUTED_VALUE"""),45149)</f>
        <v>45149</v>
      </c>
      <c r="Q59" s="8">
        <f ca="1">IFERROR(__xludf.DUMMYFUNCTION("""COMPUTED_VALUE"""),45659)</f>
        <v>45659</v>
      </c>
      <c r="R59" s="7" t="str">
        <f ca="1">IFERROR(__xludf.DUMMYFUNCTION("""COMPUTED_VALUE"""),"Terlambat")</f>
        <v>Terlambat</v>
      </c>
      <c r="S59" s="8"/>
      <c r="T59" s="7"/>
      <c r="U59" s="7"/>
      <c r="V59" s="7"/>
      <c r="W59" s="7"/>
      <c r="X59" s="7"/>
      <c r="Y59" s="7"/>
      <c r="Z59" s="7"/>
      <c r="AA59" s="7" t="str">
        <f ca="1">IFERROR(__xludf.DUMMYFUNCTION("""COMPUTED_VALUE"""),"SP1")</f>
        <v>SP1</v>
      </c>
      <c r="AB59" s="9" t="str">
        <f ca="1">IFERROR(__xludf.DUMMYFUNCTION("""COMPUTED_VALUE"""),"LAPORAN 1 TERLAMBAT")</f>
        <v>LAPORAN 1 TERLAMBAT</v>
      </c>
      <c r="AC59" s="9"/>
      <c r="AD59" s="9"/>
      <c r="AE59" s="11"/>
      <c r="AF59" s="7" t="str">
        <f ca="1">IFERROR(__xludf.DUMMYFUNCTION("""COMPUTED_VALUE"""),"BITUNG")</f>
        <v>BITUNG</v>
      </c>
      <c r="AG59" s="8"/>
      <c r="AH59" s="7"/>
      <c r="AI59" s="7"/>
      <c r="AJ59" s="7"/>
      <c r="AK59" s="6"/>
      <c r="AL59" s="6"/>
      <c r="AM59" s="6"/>
      <c r="AN59" s="6"/>
      <c r="AO59" s="6"/>
    </row>
    <row r="60" spans="1:41" ht="50.5" x14ac:dyDescent="0.3">
      <c r="A60" s="7">
        <f ca="1">IFERROR(__xludf.DUMMYFUNCTION("""COMPUTED_VALUE"""),992)</f>
        <v>992</v>
      </c>
      <c r="B60" s="7" t="str">
        <f ca="1">IFERROR(__xludf.DUMMYFUNCTION("""COMPUTED_VALUE"""),"23.13.00388")</f>
        <v>23.13.00388</v>
      </c>
      <c r="C60" s="7" t="str">
        <f ca="1">IFERROR(__xludf.DUMMYFUNCTION("""COMPUTED_VALUE"""),"PT PACIFIC INTI MINERAL")</f>
        <v>PT PACIFIC INTI MINERAL</v>
      </c>
      <c r="D60" s="7" t="str">
        <f ca="1">IFERROR(__xludf.DUMMYFUNCTION("""COMPUTED_VALUE"""),"081240047777 / pacificintimineral@gmail.com")</f>
        <v>081240047777 / pacificintimineral@gmail.com</v>
      </c>
      <c r="E60" s="7" t="str">
        <f ca="1">IFERROR(__xludf.DUMMYFUNCTION("""COMPUTED_VALUE"""),"JL. HAEBA LRG. BELUT, KELUARAHAN WUA WUA, KECAMATAN WUA-WUA, KOTA KENDARI, PROVINSI SULAWESI TENGGARA")</f>
        <v>JL. HAEBA LRG. BELUT, KELUARAHAN WUA WUA, KECAMATAN WUA-WUA, KOTA KENDARI, PROVINSI SULAWESI TENGGARA</v>
      </c>
      <c r="F60" s="7" t="str">
        <f ca="1">IFERROR(__xludf.DUMMYFUNCTION("""COMPUTED_VALUE"""),"PERSETUJUAN")</f>
        <v>PERSETUJUAN</v>
      </c>
      <c r="G60" s="7" t="str">
        <f ca="1">IFERROR(__xludf.DUMMYFUNCTION("""COMPUTED_VALUE"""),"BERUSAHA")</f>
        <v>BERUSAHA</v>
      </c>
      <c r="H60" s="7" t="str">
        <f ca="1">IFERROR(__xludf.DUMMYFUNCTION("""COMPUTED_VALUE"""),"SULAWESI TENGGARA")</f>
        <v>SULAWESI TENGGARA</v>
      </c>
      <c r="I60" s="7" t="str">
        <f ca="1">IFERROR(__xludf.DUMMYFUNCTION("""COMPUTED_VALUE"""),"TELUK BONE")</f>
        <v>TELUK BONE</v>
      </c>
      <c r="J60" s="7" t="str">
        <f ca="1">IFERROR(__xludf.DUMMYFUNCTION("""COMPUTED_VALUE"""),"PEMBANGUNAN TERMINAL KHUSUS")</f>
        <v>PEMBANGUNAN TERMINAL KHUSUS</v>
      </c>
      <c r="K60" s="7">
        <f ca="1">IFERROR(__xludf.DUMMYFUNCTION("""COMPUTED_VALUE"""),6.55)</f>
        <v>6.55</v>
      </c>
      <c r="L60" s="7" t="str">
        <f ca="1">IFERROR(__xludf.DUMMYFUNCTION("""COMPUTED_VALUE"""),"ha")</f>
        <v>ha</v>
      </c>
      <c r="M60" s="7"/>
      <c r="N60" s="7"/>
      <c r="O60" s="7" t="str">
        <f ca="1">IFERROR(__xludf.DUMMYFUNCTION("""COMPUTED_VALUE"""),"11082310517400015")</f>
        <v>11082310517400015</v>
      </c>
      <c r="P60" s="8">
        <f ca="1">IFERROR(__xludf.DUMMYFUNCTION("""COMPUTED_VALUE"""),45149)</f>
        <v>45149</v>
      </c>
      <c r="Q60" s="7"/>
      <c r="R60" s="7" t="str">
        <f ca="1">IFERROR(__xludf.DUMMYFUNCTION("""COMPUTED_VALUE"""),"Tidak Menyampaikan Laporan")</f>
        <v>Tidak Menyampaikan Laporan</v>
      </c>
      <c r="S60" s="8">
        <f ca="1">IFERROR(__xludf.DUMMYFUNCTION("""COMPUTED_VALUE"""),45727)</f>
        <v>45727</v>
      </c>
      <c r="T60" s="7"/>
      <c r="U60" s="7"/>
      <c r="V60" s="7"/>
      <c r="W60" s="7"/>
      <c r="X60" s="7"/>
      <c r="Y60" s="7"/>
      <c r="Z60" s="7"/>
      <c r="AA60" s="7" t="str">
        <f ca="1">IFERROR(__xludf.DUMMYFUNCTION("""COMPUTED_VALUE"""),"SP1")</f>
        <v>SP1</v>
      </c>
      <c r="AB60" s="9" t="str">
        <f ca="1">IFERROR(__xludf.DUMMYFUNCTION("""COMPUTED_VALUE"""),"TIDAK MENYAMPAIKAN LAPORAN 1")</f>
        <v>TIDAK MENYAMPAIKAN LAPORAN 1</v>
      </c>
      <c r="AC60" s="9"/>
      <c r="AD60" s="9"/>
      <c r="AE60" s="9"/>
      <c r="AF60" s="7" t="str">
        <f ca="1">IFERROR(__xludf.DUMMYFUNCTION("""COMPUTED_VALUE"""),"BITUNG")</f>
        <v>BITUNG</v>
      </c>
      <c r="AG60" s="7"/>
      <c r="AH60" s="7"/>
      <c r="AI60" s="7"/>
      <c r="AJ60" s="7"/>
      <c r="AK60" s="6"/>
      <c r="AL60" s="6"/>
      <c r="AM60" s="6"/>
      <c r="AN60" s="6"/>
      <c r="AO60" s="6"/>
    </row>
    <row r="61" spans="1:41" ht="50.5" x14ac:dyDescent="0.3">
      <c r="A61" s="7">
        <f ca="1">IFERROR(__xludf.DUMMYFUNCTION("""COMPUTED_VALUE"""),1112)</f>
        <v>1112</v>
      </c>
      <c r="B61" s="7" t="str">
        <f ca="1">IFERROR(__xludf.DUMMYFUNCTION("""COMPUTED_VALUE"""),"23.13.00516")</f>
        <v>23.13.00516</v>
      </c>
      <c r="C61" s="7" t="str">
        <f ca="1">IFERROR(__xludf.DUMMYFUNCTION("""COMPUTED_VALUE"""),"PT GRAHA BATU PERDANA")</f>
        <v>PT GRAHA BATU PERDANA</v>
      </c>
      <c r="D61" s="7" t="str">
        <f ca="1">IFERROR(__xludf.DUMMYFUNCTION("""COMPUTED_VALUE"""),"082123543399 / 085244563121 / grahabatuperdana_7937@yahoo.com")</f>
        <v>082123543399 / 085244563121 / grahabatuperdana_7937@yahoo.com</v>
      </c>
      <c r="E61" s="7" t="str">
        <f ca="1">IFERROR(__xludf.DUMMYFUNCTION("""COMPUTED_VALUE"""),"DESA BAHOMOHONI, KECAMATAN BUNGKU TENGAH, KABUPATEN MOROWALI, PROVINSI SULAWESI TENGAH")</f>
        <v>DESA BAHOMOHONI, KECAMATAN BUNGKU TENGAH, KABUPATEN MOROWALI, PROVINSI SULAWESI TENGAH</v>
      </c>
      <c r="F61" s="7" t="str">
        <f ca="1">IFERROR(__xludf.DUMMYFUNCTION("""COMPUTED_VALUE"""),"PERSETUJUAN")</f>
        <v>PERSETUJUAN</v>
      </c>
      <c r="G61" s="7" t="str">
        <f ca="1">IFERROR(__xludf.DUMMYFUNCTION("""COMPUTED_VALUE"""),"BERUSAHA")</f>
        <v>BERUSAHA</v>
      </c>
      <c r="H61" s="7" t="str">
        <f ca="1">IFERROR(__xludf.DUMMYFUNCTION("""COMPUTED_VALUE"""),"SULAWESI TENGAH")</f>
        <v>SULAWESI TENGAH</v>
      </c>
      <c r="I61" s="7" t="str">
        <f ca="1">IFERROR(__xludf.DUMMYFUNCTION("""COMPUTED_VALUE"""),"LAUT BANDA")</f>
        <v>LAUT BANDA</v>
      </c>
      <c r="J61" s="7" t="str">
        <f ca="1">IFERROR(__xludf.DUMMYFUNCTION("""COMPUTED_VALUE"""),"PEMBANGUNAN TERMINAL KHUSUS")</f>
        <v>PEMBANGUNAN TERMINAL KHUSUS</v>
      </c>
      <c r="K61" s="7">
        <f ca="1">IFERROR(__xludf.DUMMYFUNCTION("""COMPUTED_VALUE"""),4.71)</f>
        <v>4.71</v>
      </c>
      <c r="L61" s="7" t="str">
        <f ca="1">IFERROR(__xludf.DUMMYFUNCTION("""COMPUTED_VALUE"""),"ha")</f>
        <v>ha</v>
      </c>
      <c r="M61" s="7"/>
      <c r="N61" s="7"/>
      <c r="O61" s="7" t="str">
        <f ca="1">IFERROR(__xludf.DUMMYFUNCTION("""COMPUTED_VALUE"""),"25092310517200008")</f>
        <v>25092310517200008</v>
      </c>
      <c r="P61" s="8">
        <f ca="1">IFERROR(__xludf.DUMMYFUNCTION("""COMPUTED_VALUE"""),45194)</f>
        <v>45194</v>
      </c>
      <c r="Q61" s="8"/>
      <c r="R61" s="7" t="str">
        <f ca="1">IFERROR(__xludf.DUMMYFUNCTION("""COMPUTED_VALUE"""),"Tidak Menyampaikan Laporan")</f>
        <v>Tidak Menyampaikan Laporan</v>
      </c>
      <c r="S61" s="8"/>
      <c r="T61" s="7"/>
      <c r="U61" s="7"/>
      <c r="V61" s="7"/>
      <c r="W61" s="7"/>
      <c r="X61" s="7"/>
      <c r="Y61" s="7"/>
      <c r="Z61" s="7"/>
      <c r="AA61" s="7" t="str">
        <f ca="1">IFERROR(__xludf.DUMMYFUNCTION("""COMPUTED_VALUE"""),"SP1")</f>
        <v>SP1</v>
      </c>
      <c r="AB61" s="9" t="str">
        <f ca="1">IFERROR(__xludf.DUMMYFUNCTION("""COMPUTED_VALUE"""),"TIDAK MENYAMPAIKAN LAPORAN 1")</f>
        <v>TIDAK MENYAMPAIKAN LAPORAN 1</v>
      </c>
      <c r="AC61" s="9"/>
      <c r="AD61" s="9"/>
      <c r="AE61" s="11"/>
      <c r="AF61" s="7" t="str">
        <f ca="1">IFERROR(__xludf.DUMMYFUNCTION("""COMPUTED_VALUE"""),"BITUNG")</f>
        <v>BITUNG</v>
      </c>
      <c r="AG61" s="8"/>
      <c r="AH61" s="7"/>
      <c r="AI61" s="7"/>
      <c r="AJ61" s="7"/>
      <c r="AK61" s="6"/>
      <c r="AL61" s="6"/>
      <c r="AM61" s="6"/>
      <c r="AN61" s="6"/>
      <c r="AO61" s="6"/>
    </row>
    <row r="62" spans="1:41" ht="50.5" x14ac:dyDescent="0.3">
      <c r="A62" s="7">
        <f ca="1">IFERROR(__xludf.DUMMYFUNCTION("""COMPUTED_VALUE"""),1130)</f>
        <v>1130</v>
      </c>
      <c r="B62" s="7" t="str">
        <f ca="1">IFERROR(__xludf.DUMMYFUNCTION("""COMPUTED_VALUE"""),"23.13.00515")</f>
        <v>23.13.00515</v>
      </c>
      <c r="C62" s="7" t="str">
        <f ca="1">IFERROR(__xludf.DUMMYFUNCTION("""COMPUTED_VALUE"""),"PT SINAR BARRU PRIMA")</f>
        <v>PT SINAR BARRU PRIMA</v>
      </c>
      <c r="D62" s="7" t="str">
        <f ca="1">IFERROR(__xludf.DUMMYFUNCTION("""COMPUTED_VALUE"""),"085823832908 / sinarbarru@yahoo.com")</f>
        <v>085823832908 / sinarbarru@yahoo.com</v>
      </c>
      <c r="E62" s="7" t="str">
        <f ca="1">IFERROR(__xludf.DUMMYFUNCTION("""COMPUTED_VALUE"""),"JL. POROS BARRU-PAREPARE KM 136, KABUPATEN BARRU, PROVINSI SULAWESI SELATAN")</f>
        <v>JL. POROS BARRU-PAREPARE KM 136, KABUPATEN BARRU, PROVINSI SULAWESI SELATAN</v>
      </c>
      <c r="F62" s="7" t="str">
        <f ca="1">IFERROR(__xludf.DUMMYFUNCTION("""COMPUTED_VALUE"""),"PERSETUJUAN")</f>
        <v>PERSETUJUAN</v>
      </c>
      <c r="G62" s="7" t="str">
        <f ca="1">IFERROR(__xludf.DUMMYFUNCTION("""COMPUTED_VALUE"""),"BERUSAHA")</f>
        <v>BERUSAHA</v>
      </c>
      <c r="H62" s="7" t="str">
        <f ca="1">IFERROR(__xludf.DUMMYFUNCTION("""COMPUTED_VALUE"""),"SULAWESI SELATAN")</f>
        <v>SULAWESI SELATAN</v>
      </c>
      <c r="I62" s="7" t="str">
        <f ca="1">IFERROR(__xludf.DUMMYFUNCTION("""COMPUTED_VALUE"""),"SELAT MAKASSAR")</f>
        <v>SELAT MAKASSAR</v>
      </c>
      <c r="J62" s="7" t="str">
        <f ca="1">IFERROR(__xludf.DUMMYFUNCTION("""COMPUTED_VALUE"""),"PEMASANGAN INSTALASI PERIKANAN")</f>
        <v>PEMASANGAN INSTALASI PERIKANAN</v>
      </c>
      <c r="K62" s="7">
        <f ca="1">IFERROR(__xludf.DUMMYFUNCTION("""COMPUTED_VALUE"""),0.24)</f>
        <v>0.24</v>
      </c>
      <c r="L62" s="7" t="str">
        <f ca="1">IFERROR(__xludf.DUMMYFUNCTION("""COMPUTED_VALUE"""),"ha")</f>
        <v>ha</v>
      </c>
      <c r="M62" s="7"/>
      <c r="N62" s="7"/>
      <c r="O62" s="7" t="str">
        <f ca="1">IFERROR(__xludf.DUMMYFUNCTION("""COMPUTED_VALUE"""),"03102310517300001")</f>
        <v>03102310517300001</v>
      </c>
      <c r="P62" s="8">
        <f ca="1">IFERROR(__xludf.DUMMYFUNCTION("""COMPUTED_VALUE"""),45202)</f>
        <v>45202</v>
      </c>
      <c r="Q62" s="8"/>
      <c r="R62" s="7" t="str">
        <f ca="1">IFERROR(__xludf.DUMMYFUNCTION("""COMPUTED_VALUE"""),"Tidak Menyampaikan Laporan")</f>
        <v>Tidak Menyampaikan Laporan</v>
      </c>
      <c r="S62" s="7"/>
      <c r="T62" s="7"/>
      <c r="U62" s="7"/>
      <c r="V62" s="7"/>
      <c r="W62" s="7"/>
      <c r="X62" s="7"/>
      <c r="Y62" s="7"/>
      <c r="Z62" s="7"/>
      <c r="AA62" s="7" t="str">
        <f ca="1">IFERROR(__xludf.DUMMYFUNCTION("""COMPUTED_VALUE"""),"SP1")</f>
        <v>SP1</v>
      </c>
      <c r="AB62" s="9" t="str">
        <f ca="1">IFERROR(__xludf.DUMMYFUNCTION("""COMPUTED_VALUE"""),"TIDAK MENYAMPAIKAN LAPORAN 1")</f>
        <v>TIDAK MENYAMPAIKAN LAPORAN 1</v>
      </c>
      <c r="AC62" s="9"/>
      <c r="AD62" s="9"/>
      <c r="AE62" s="11"/>
      <c r="AF62" s="7" t="str">
        <f ca="1">IFERROR(__xludf.DUMMYFUNCTION("""COMPUTED_VALUE"""),"BITUNG")</f>
        <v>BITUNG</v>
      </c>
      <c r="AG62" s="8"/>
      <c r="AH62" s="7"/>
      <c r="AI62" s="7"/>
      <c r="AJ62" s="7"/>
      <c r="AK62" s="6"/>
      <c r="AL62" s="6"/>
      <c r="AM62" s="6"/>
      <c r="AN62" s="6"/>
      <c r="AO62" s="6"/>
    </row>
    <row r="63" spans="1:41" ht="50.5" x14ac:dyDescent="0.3">
      <c r="A63" s="7">
        <f ca="1">IFERROR(__xludf.DUMMYFUNCTION("""COMPUTED_VALUE"""),1132)</f>
        <v>1132</v>
      </c>
      <c r="B63" s="7" t="str">
        <f ca="1">IFERROR(__xludf.DUMMYFUNCTION("""COMPUTED_VALUE"""),"23.13.00520")</f>
        <v>23.13.00520</v>
      </c>
      <c r="C63" s="7" t="str">
        <f ca="1">IFERROR(__xludf.DUMMYFUNCTION("""COMPUTED_VALUE"""),"PT BINTANG CEMERLANG MINERAL MORUT")</f>
        <v>PT BINTANG CEMERLANG MINERAL MORUT</v>
      </c>
      <c r="D63" s="7" t="str">
        <f ca="1">IFERROR(__xludf.DUMMYFUNCTION("""COMPUTED_VALUE"""),"081244730108 / pt.bintangcemerlangmineralmorut@gmail.com")</f>
        <v>081244730108 / pt.bintangcemerlangmineralmorut@gmail.com</v>
      </c>
      <c r="E63" s="7" t="str">
        <f ca="1">IFERROR(__xludf.DUMMYFUNCTION("""COMPUTED_VALUE"""),"JL. DR. MOH HATTA NO. 55, KELURAHAN BESUSU TENGAH, KECAMATAN, PALU TIMUR, KOTA PALU, PROVINSI SULAWESI TENGAH")</f>
        <v>JL. DR. MOH HATTA NO. 55, KELURAHAN BESUSU TENGAH, KECAMATAN, PALU TIMUR, KOTA PALU, PROVINSI SULAWESI TENGAH</v>
      </c>
      <c r="F63" s="7" t="str">
        <f ca="1">IFERROR(__xludf.DUMMYFUNCTION("""COMPUTED_VALUE"""),"PERSETUJUAN")</f>
        <v>PERSETUJUAN</v>
      </c>
      <c r="G63" s="7" t="str">
        <f ca="1">IFERROR(__xludf.DUMMYFUNCTION("""COMPUTED_VALUE"""),"BERUSAHA")</f>
        <v>BERUSAHA</v>
      </c>
      <c r="H63" s="7" t="str">
        <f ca="1">IFERROR(__xludf.DUMMYFUNCTION("""COMPUTED_VALUE"""),"SULAWESI TENGAH")</f>
        <v>SULAWESI TENGAH</v>
      </c>
      <c r="I63" s="7" t="str">
        <f ca="1">IFERROR(__xludf.DUMMYFUNCTION("""COMPUTED_VALUE"""),"LAUT BANDA")</f>
        <v>LAUT BANDA</v>
      </c>
      <c r="J63" s="7" t="str">
        <f ca="1">IFERROR(__xludf.DUMMYFUNCTION("""COMPUTED_VALUE"""),"PEMBANGUNAN TERMINAL KHUSUS")</f>
        <v>PEMBANGUNAN TERMINAL KHUSUS</v>
      </c>
      <c r="K63" s="7">
        <f ca="1">IFERROR(__xludf.DUMMYFUNCTION("""COMPUTED_VALUE"""),23.57)</f>
        <v>23.57</v>
      </c>
      <c r="L63" s="7" t="str">
        <f ca="1">IFERROR(__xludf.DUMMYFUNCTION("""COMPUTED_VALUE"""),"ha")</f>
        <v>ha</v>
      </c>
      <c r="M63" s="7"/>
      <c r="N63" s="7"/>
      <c r="O63" s="7" t="str">
        <f ca="1">IFERROR(__xludf.DUMMYFUNCTION("""COMPUTED_VALUE"""),"03102310517200001")</f>
        <v>03102310517200001</v>
      </c>
      <c r="P63" s="8">
        <f ca="1">IFERROR(__xludf.DUMMYFUNCTION("""COMPUTED_VALUE"""),45202)</f>
        <v>45202</v>
      </c>
      <c r="Q63" s="7"/>
      <c r="R63" s="7" t="str">
        <f ca="1">IFERROR(__xludf.DUMMYFUNCTION("""COMPUTED_VALUE"""),"Tidak Menyampaikan Laporan")</f>
        <v>Tidak Menyampaikan Laporan</v>
      </c>
      <c r="S63" s="7"/>
      <c r="T63" s="7"/>
      <c r="U63" s="7"/>
      <c r="V63" s="7"/>
      <c r="W63" s="7"/>
      <c r="X63" s="7"/>
      <c r="Y63" s="7"/>
      <c r="Z63" s="7"/>
      <c r="AA63" s="7" t="str">
        <f ca="1">IFERROR(__xludf.DUMMYFUNCTION("""COMPUTED_VALUE"""),"SP1")</f>
        <v>SP1</v>
      </c>
      <c r="AB63" s="9" t="str">
        <f ca="1">IFERROR(__xludf.DUMMYFUNCTION("""COMPUTED_VALUE"""),"TIDAK MENYAMPAIKAN LAPORAN 1")</f>
        <v>TIDAK MENYAMPAIKAN LAPORAN 1</v>
      </c>
      <c r="AC63" s="9"/>
      <c r="AD63" s="9"/>
      <c r="AE63" s="9"/>
      <c r="AF63" s="7" t="str">
        <f ca="1">IFERROR(__xludf.DUMMYFUNCTION("""COMPUTED_VALUE"""),"BITUNG")</f>
        <v>BITUNG</v>
      </c>
      <c r="AG63" s="7"/>
      <c r="AH63" s="7"/>
      <c r="AI63" s="7"/>
      <c r="AJ63" s="7"/>
      <c r="AK63" s="6"/>
      <c r="AL63" s="6"/>
      <c r="AM63" s="6"/>
      <c r="AN63" s="6"/>
      <c r="AO63" s="6"/>
    </row>
    <row r="64" spans="1:41" ht="25.5" x14ac:dyDescent="0.3">
      <c r="A64" s="7">
        <f ca="1">IFERROR(__xludf.DUMMYFUNCTION("""COMPUTED_VALUE"""),1137)</f>
        <v>1137</v>
      </c>
      <c r="B64" s="7" t="str">
        <f ca="1">IFERROR(__xludf.DUMMYFUNCTION("""COMPUTED_VALUE"""),"23.13.00521")</f>
        <v>23.13.00521</v>
      </c>
      <c r="C64" s="7" t="str">
        <f ca="1">IFERROR(__xludf.DUMMYFUNCTION("""COMPUTED_VALUE"""),"PT WAJA INTI LESTARI")</f>
        <v>PT WAJA INTI LESTARI</v>
      </c>
      <c r="D64" s="7" t="str">
        <f ca="1">IFERROR(__xludf.DUMMYFUNCTION("""COMPUTED_VALUE"""),"082148818848 / wajainti@gmail.com")</f>
        <v>082148818848 / wajainti@gmail.com</v>
      </c>
      <c r="E64" s="7" t="str">
        <f ca="1">IFERROR(__xludf.DUMMYFUNCTION("""COMPUTED_VALUE"""),"KELURAHAN WOLO, KECAMATAN WOLO, KABUPATEN KOLAKA, PROVINSI SULAWESI TENGGARA")</f>
        <v>KELURAHAN WOLO, KECAMATAN WOLO, KABUPATEN KOLAKA, PROVINSI SULAWESI TENGGARA</v>
      </c>
      <c r="F64" s="7" t="str">
        <f ca="1">IFERROR(__xludf.DUMMYFUNCTION("""COMPUTED_VALUE"""),"PERSETUJUAN")</f>
        <v>PERSETUJUAN</v>
      </c>
      <c r="G64" s="7" t="str">
        <f ca="1">IFERROR(__xludf.DUMMYFUNCTION("""COMPUTED_VALUE"""),"BERUSAHA")</f>
        <v>BERUSAHA</v>
      </c>
      <c r="H64" s="7" t="str">
        <f ca="1">IFERROR(__xludf.DUMMYFUNCTION("""COMPUTED_VALUE"""),"SULAWESI TENGGARA")</f>
        <v>SULAWESI TENGGARA</v>
      </c>
      <c r="I64" s="7" t="str">
        <f ca="1">IFERROR(__xludf.DUMMYFUNCTION("""COMPUTED_VALUE"""),"TELUK BONE")</f>
        <v>TELUK BONE</v>
      </c>
      <c r="J64" s="7" t="str">
        <f ca="1">IFERROR(__xludf.DUMMYFUNCTION("""COMPUTED_VALUE"""),"TERMINAL KHUSUS")</f>
        <v>TERMINAL KHUSUS</v>
      </c>
      <c r="K64" s="7">
        <f ca="1">IFERROR(__xludf.DUMMYFUNCTION("""COMPUTED_VALUE"""),6.68)</f>
        <v>6.68</v>
      </c>
      <c r="L64" s="7" t="str">
        <f ca="1">IFERROR(__xludf.DUMMYFUNCTION("""COMPUTED_VALUE"""),"ha")</f>
        <v>ha</v>
      </c>
      <c r="M64" s="7"/>
      <c r="N64" s="7"/>
      <c r="O64" s="7" t="str">
        <f ca="1">IFERROR(__xludf.DUMMYFUNCTION("""COMPUTED_VALUE"""),"06102310517400002")</f>
        <v>06102310517400002</v>
      </c>
      <c r="P64" s="8">
        <f ca="1">IFERROR(__xludf.DUMMYFUNCTION("""COMPUTED_VALUE"""),45205)</f>
        <v>45205</v>
      </c>
      <c r="Q64" s="8">
        <f ca="1">IFERROR(__xludf.DUMMYFUNCTION("""COMPUTED_VALUE"""),45573)</f>
        <v>45573</v>
      </c>
      <c r="R64" s="7" t="str">
        <f ca="1">IFERROR(__xludf.DUMMYFUNCTION("""COMPUTED_VALUE"""),"Terlambat")</f>
        <v>Terlambat</v>
      </c>
      <c r="S64" s="7"/>
      <c r="T64" s="7"/>
      <c r="U64" s="7"/>
      <c r="V64" s="7"/>
      <c r="W64" s="7"/>
      <c r="X64" s="7"/>
      <c r="Y64" s="7"/>
      <c r="Z64" s="7"/>
      <c r="AA64" s="7" t="str">
        <f ca="1">IFERROR(__xludf.DUMMYFUNCTION("""COMPUTED_VALUE"""),"SP1")</f>
        <v>SP1</v>
      </c>
      <c r="AB64" s="9" t="str">
        <f ca="1">IFERROR(__xludf.DUMMYFUNCTION("""COMPUTED_VALUE"""),"LAPORAN 1 TERLAMBAT")</f>
        <v>LAPORAN 1 TERLAMBAT</v>
      </c>
      <c r="AC64" s="9"/>
      <c r="AD64" s="9"/>
      <c r="AE64" s="11"/>
      <c r="AF64" s="7" t="str">
        <f ca="1">IFERROR(__xludf.DUMMYFUNCTION("""COMPUTED_VALUE"""),"BITUNG")</f>
        <v>BITUNG</v>
      </c>
      <c r="AG64" s="8"/>
      <c r="AH64" s="7"/>
      <c r="AI64" s="7"/>
      <c r="AJ64" s="7"/>
      <c r="AK64" s="6"/>
      <c r="AL64" s="6"/>
      <c r="AM64" s="6"/>
      <c r="AN64" s="6"/>
      <c r="AO64" s="6"/>
    </row>
    <row r="65" spans="1:41" ht="50.5" x14ac:dyDescent="0.3">
      <c r="A65" s="7">
        <f ca="1">IFERROR(__xludf.DUMMYFUNCTION("""COMPUTED_VALUE"""),1139)</f>
        <v>1139</v>
      </c>
      <c r="B65" s="7" t="str">
        <f ca="1">IFERROR(__xludf.DUMMYFUNCTION("""COMPUTED_VALUE"""),"23.13.00532")</f>
        <v>23.13.00532</v>
      </c>
      <c r="C65" s="7" t="str">
        <f ca="1">IFERROR(__xludf.DUMMYFUNCTION("""COMPUTED_VALUE"""),"PT MARGO KARYA MANDIRI")</f>
        <v>PT MARGO KARYA MANDIRI</v>
      </c>
      <c r="D65" s="7" t="str">
        <f ca="1">IFERROR(__xludf.DUMMYFUNCTION("""COMPUTED_VALUE"""),"08129922393 / margokarya.adm@gmail.com")</f>
        <v>08129922393 / margokarya.adm@gmail.com</v>
      </c>
      <c r="E65" s="7" t="str">
        <f ca="1">IFERROR(__xludf.DUMMYFUNCTION("""COMPUTED_VALUE"""),"WISMA ISKANDARSYAH BLOK C4, JL. ISKANDARSYAH RAYA NO. 12-14, KOTA JAKARTA SELATAN, PROVINSI DKI JAKARTA")</f>
        <v>WISMA ISKANDARSYAH BLOK C4, JL. ISKANDARSYAH RAYA NO. 12-14, KOTA JAKARTA SELATAN, PROVINSI DKI JAKARTA</v>
      </c>
      <c r="F65" s="7" t="str">
        <f ca="1">IFERROR(__xludf.DUMMYFUNCTION("""COMPUTED_VALUE"""),"PERSETUJUAN")</f>
        <v>PERSETUJUAN</v>
      </c>
      <c r="G65" s="7" t="str">
        <f ca="1">IFERROR(__xludf.DUMMYFUNCTION("""COMPUTED_VALUE"""),"BERUSAHA")</f>
        <v>BERUSAHA</v>
      </c>
      <c r="H65" s="7" t="str">
        <f ca="1">IFERROR(__xludf.DUMMYFUNCTION("""COMPUTED_VALUE"""),"SULAWESI TENGGARA")</f>
        <v>SULAWESI TENGGARA</v>
      </c>
      <c r="I65" s="7" t="str">
        <f ca="1">IFERROR(__xludf.DUMMYFUNCTION("""COMPUTED_VALUE"""),"LAUT BANDA")</f>
        <v>LAUT BANDA</v>
      </c>
      <c r="J65" s="7" t="str">
        <f ca="1">IFERROR(__xludf.DUMMYFUNCTION("""COMPUTED_VALUE"""),"PEMBANGUNAN TERMINAL KHUSUS DAN SARANA PENUNJANG")</f>
        <v>PEMBANGUNAN TERMINAL KHUSUS DAN SARANA PENUNJANG</v>
      </c>
      <c r="K65" s="7">
        <f ca="1">IFERROR(__xludf.DUMMYFUNCTION("""COMPUTED_VALUE"""),7.54)</f>
        <v>7.54</v>
      </c>
      <c r="L65" s="7" t="str">
        <f ca="1">IFERROR(__xludf.DUMMYFUNCTION("""COMPUTED_VALUE"""),"ha")</f>
        <v>ha</v>
      </c>
      <c r="M65" s="7"/>
      <c r="N65" s="7"/>
      <c r="O65" s="7" t="str">
        <f ca="1">IFERROR(__xludf.DUMMYFUNCTION("""COMPUTED_VALUE"""),"06102310517400003")</f>
        <v>06102310517400003</v>
      </c>
      <c r="P65" s="8">
        <f ca="1">IFERROR(__xludf.DUMMYFUNCTION("""COMPUTED_VALUE"""),45205)</f>
        <v>45205</v>
      </c>
      <c r="Q65" s="7"/>
      <c r="R65" s="7" t="str">
        <f ca="1">IFERROR(__xludf.DUMMYFUNCTION("""COMPUTED_VALUE"""),"Tidak Menyampaikan Laporan")</f>
        <v>Tidak Menyampaikan Laporan</v>
      </c>
      <c r="S65" s="7"/>
      <c r="T65" s="7"/>
      <c r="U65" s="7"/>
      <c r="V65" s="7"/>
      <c r="W65" s="7"/>
      <c r="X65" s="7"/>
      <c r="Y65" s="7"/>
      <c r="Z65" s="7"/>
      <c r="AA65" s="7" t="str">
        <f ca="1">IFERROR(__xludf.DUMMYFUNCTION("""COMPUTED_VALUE"""),"SP1")</f>
        <v>SP1</v>
      </c>
      <c r="AB65" s="9" t="str">
        <f ca="1">IFERROR(__xludf.DUMMYFUNCTION("""COMPUTED_VALUE"""),"TIDAK MENYAMPAIKAN LAPORAN 1")</f>
        <v>TIDAK MENYAMPAIKAN LAPORAN 1</v>
      </c>
      <c r="AC65" s="9"/>
      <c r="AD65" s="9"/>
      <c r="AE65" s="9"/>
      <c r="AF65" s="7" t="str">
        <f ca="1">IFERROR(__xludf.DUMMYFUNCTION("""COMPUTED_VALUE"""),"BITUNG")</f>
        <v>BITUNG</v>
      </c>
      <c r="AG65" s="7"/>
      <c r="AH65" s="7"/>
      <c r="AI65" s="7"/>
      <c r="AJ65" s="7"/>
      <c r="AK65" s="6"/>
      <c r="AL65" s="6"/>
      <c r="AM65" s="6"/>
      <c r="AN65" s="6"/>
      <c r="AO65" s="6"/>
    </row>
    <row r="66" spans="1:41" ht="25.5" x14ac:dyDescent="0.3">
      <c r="A66" s="7">
        <f ca="1">IFERROR(__xludf.DUMMYFUNCTION("""COMPUTED_VALUE"""),1143)</f>
        <v>1143</v>
      </c>
      <c r="B66" s="7" t="str">
        <f ca="1">IFERROR(__xludf.DUMMYFUNCTION("""COMPUTED_VALUE"""),"23.13.00541")</f>
        <v>23.13.00541</v>
      </c>
      <c r="C66" s="7" t="str">
        <f ca="1">IFERROR(__xludf.DUMMYFUNCTION("""COMPUTED_VALUE"""),"PT PLN NUSANTARA POWER")</f>
        <v>PT PLN NUSANTARA POWER</v>
      </c>
      <c r="D66" s="7" t="str">
        <f ca="1">IFERROR(__xludf.DUMMYFUNCTION("""COMPUTED_VALUE"""),"08112828996/info@plnnusantarapower.co.id")</f>
        <v>08112828996/info@plnnusantarapower.co.id</v>
      </c>
      <c r="E66" s="7" t="str">
        <f ca="1">IFERROR(__xludf.DUMMYFUNCTION("""COMPUTED_VALUE"""),"JL. KETINTANG BARU NO. 11, KELURAHAN KETINTANG, KECAMATAN GAYUNGAN, KOTA SURABAYA, PROVINSI JAWA TIMUR")</f>
        <v>JL. KETINTANG BARU NO. 11, KELURAHAN KETINTANG, KECAMATAN GAYUNGAN, KOTA SURABAYA, PROVINSI JAWA TIMUR</v>
      </c>
      <c r="F66" s="7" t="str">
        <f ca="1">IFERROR(__xludf.DUMMYFUNCTION("""COMPUTED_VALUE"""),"PERSETUJUAN")</f>
        <v>PERSETUJUAN</v>
      </c>
      <c r="G66" s="7" t="str">
        <f ca="1">IFERROR(__xludf.DUMMYFUNCTION("""COMPUTED_VALUE"""),"BERUSAHA")</f>
        <v>BERUSAHA</v>
      </c>
      <c r="H66" s="7" t="str">
        <f ca="1">IFERROR(__xludf.DUMMYFUNCTION("""COMPUTED_VALUE"""),"SULAWESI SELATAN")</f>
        <v>SULAWESI SELATAN</v>
      </c>
      <c r="I66" s="7" t="str">
        <f ca="1">IFERROR(__xludf.DUMMYFUNCTION("""COMPUTED_VALUE"""),"LAUT FLORES")</f>
        <v>LAUT FLORES</v>
      </c>
      <c r="J66" s="7" t="str">
        <f ca="1">IFERROR(__xludf.DUMMYFUNCTION("""COMPUTED_VALUE"""),"TERMINAL KHUSUS PLTU PUNAGAYA")</f>
        <v>TERMINAL KHUSUS PLTU PUNAGAYA</v>
      </c>
      <c r="K66" s="7">
        <f ca="1">IFERROR(__xludf.DUMMYFUNCTION("""COMPUTED_VALUE"""),16.42)</f>
        <v>16.420000000000002</v>
      </c>
      <c r="L66" s="7" t="str">
        <f ca="1">IFERROR(__xludf.DUMMYFUNCTION("""COMPUTED_VALUE"""),"ha")</f>
        <v>ha</v>
      </c>
      <c r="M66" s="7"/>
      <c r="N66" s="7"/>
      <c r="O66" s="7" t="str">
        <f ca="1">IFERROR(__xludf.DUMMYFUNCTION("""COMPUTED_VALUE"""),"09102310517300002")</f>
        <v>09102310517300002</v>
      </c>
      <c r="P66" s="8">
        <f ca="1">IFERROR(__xludf.DUMMYFUNCTION("""COMPUTED_VALUE"""),45208)</f>
        <v>45208</v>
      </c>
      <c r="Q66" s="8">
        <f ca="1">IFERROR(__xludf.DUMMYFUNCTION("""COMPUTED_VALUE"""),45589)</f>
        <v>45589</v>
      </c>
      <c r="R66" s="7" t="str">
        <f ca="1">IFERROR(__xludf.DUMMYFUNCTION("""COMPUTED_VALUE"""),"Terlambat")</f>
        <v>Terlambat</v>
      </c>
      <c r="S66" s="7"/>
      <c r="T66" s="7"/>
      <c r="U66" s="7"/>
      <c r="V66" s="7"/>
      <c r="W66" s="7"/>
      <c r="X66" s="7"/>
      <c r="Y66" s="7"/>
      <c r="Z66" s="7"/>
      <c r="AA66" s="7" t="str">
        <f ca="1">IFERROR(__xludf.DUMMYFUNCTION("""COMPUTED_VALUE"""),"SP1")</f>
        <v>SP1</v>
      </c>
      <c r="AB66" s="9" t="str">
        <f ca="1">IFERROR(__xludf.DUMMYFUNCTION("""COMPUTED_VALUE"""),"LAPORAN 1 TERLAMBAT")</f>
        <v>LAPORAN 1 TERLAMBAT</v>
      </c>
      <c r="AC66" s="9"/>
      <c r="AD66" s="9"/>
      <c r="AE66" s="11"/>
      <c r="AF66" s="7" t="str">
        <f ca="1">IFERROR(__xludf.DUMMYFUNCTION("""COMPUTED_VALUE"""),"BITUNG")</f>
        <v>BITUNG</v>
      </c>
      <c r="AG66" s="8"/>
      <c r="AH66" s="7"/>
      <c r="AI66" s="7"/>
      <c r="AJ66" s="7"/>
      <c r="AK66" s="6"/>
      <c r="AL66" s="6"/>
      <c r="AM66" s="6"/>
      <c r="AN66" s="6"/>
      <c r="AO66" s="6"/>
    </row>
    <row r="67" spans="1:41" ht="50.5" x14ac:dyDescent="0.3">
      <c r="A67" s="7">
        <f ca="1">IFERROR(__xludf.DUMMYFUNCTION("""COMPUTED_VALUE"""),1148)</f>
        <v>1148</v>
      </c>
      <c r="B67" s="7" t="str">
        <f ca="1">IFERROR(__xludf.DUMMYFUNCTION("""COMPUTED_VALUE"""),"23.13.00553")</f>
        <v>23.13.00553</v>
      </c>
      <c r="C67" s="7" t="str">
        <f ca="1">IFERROR(__xludf.DUMMYFUNCTION("""COMPUTED_VALUE"""),"DG. MARAPPO")</f>
        <v>DG. MARAPPO</v>
      </c>
      <c r="D67" s="7" t="str">
        <f ca="1">IFERROR(__xludf.DUMMYFUNCTION("""COMPUTED_VALUE"""),"p.er.i.z.i.n.an.mob.ile@gmail.com")</f>
        <v>p.er.i.z.i.n.an.mob.ile@gmail.com</v>
      </c>
      <c r="E67" s="7" t="str">
        <f ca="1">IFERROR(__xludf.DUMMYFUNCTION("""COMPUTED_VALUE"""),"KELURAHAN KHUSUS BAHULUANG, KECAMATAN BONTOSIKUYU, KABUPATEN SELAYAR, PROVINSI SULAWESI SELATAN")</f>
        <v>KELURAHAN KHUSUS BAHULUANG, KECAMATAN BONTOSIKUYU, KABUPATEN SELAYAR, PROVINSI SULAWESI SELATAN</v>
      </c>
      <c r="F67" s="7" t="str">
        <f ca="1">IFERROR(__xludf.DUMMYFUNCTION("""COMPUTED_VALUE"""),"PERSETUJUAN")</f>
        <v>PERSETUJUAN</v>
      </c>
      <c r="G67" s="7" t="str">
        <f ca="1">IFERROR(__xludf.DUMMYFUNCTION("""COMPUTED_VALUE"""),"BERUSAHA")</f>
        <v>BERUSAHA</v>
      </c>
      <c r="H67" s="7" t="str">
        <f ca="1">IFERROR(__xludf.DUMMYFUNCTION("""COMPUTED_VALUE"""),"SULAWESI SELATAN")</f>
        <v>SULAWESI SELATAN</v>
      </c>
      <c r="I67" s="7" t="str">
        <f ca="1">IFERROR(__xludf.DUMMYFUNCTION("""COMPUTED_VALUE"""),"LAUT FLORES")</f>
        <v>LAUT FLORES</v>
      </c>
      <c r="J67" s="7" t="str">
        <f ca="1">IFERROR(__xludf.DUMMYFUNCTION("""COMPUTED_VALUE"""),"PEMANFAATAN KERAMBA JARING APUNG")</f>
        <v>PEMANFAATAN KERAMBA JARING APUNG</v>
      </c>
      <c r="K67" s="7">
        <f ca="1">IFERROR(__xludf.DUMMYFUNCTION("""COMPUTED_VALUE"""),0.02)</f>
        <v>0.02</v>
      </c>
      <c r="L67" s="7" t="str">
        <f ca="1">IFERROR(__xludf.DUMMYFUNCTION("""COMPUTED_VALUE"""),"ha")</f>
        <v>ha</v>
      </c>
      <c r="M67" s="7"/>
      <c r="N67" s="7"/>
      <c r="O67" s="7" t="str">
        <f ca="1">IFERROR(__xludf.DUMMYFUNCTION("""COMPUTED_VALUE"""),"19102310517300006")</f>
        <v>19102310517300006</v>
      </c>
      <c r="P67" s="8">
        <f ca="1">IFERROR(__xludf.DUMMYFUNCTION("""COMPUTED_VALUE"""),45218)</f>
        <v>45218</v>
      </c>
      <c r="Q67" s="7"/>
      <c r="R67" s="7" t="str">
        <f ca="1">IFERROR(__xludf.DUMMYFUNCTION("""COMPUTED_VALUE"""),"Tidak Menyampaikan Laporan")</f>
        <v>Tidak Menyampaikan Laporan</v>
      </c>
      <c r="S67" s="7"/>
      <c r="T67" s="7"/>
      <c r="U67" s="7"/>
      <c r="V67" s="7"/>
      <c r="W67" s="7"/>
      <c r="X67" s="7"/>
      <c r="Y67" s="7"/>
      <c r="Z67" s="7"/>
      <c r="AA67" s="7" t="str">
        <f ca="1">IFERROR(__xludf.DUMMYFUNCTION("""COMPUTED_VALUE"""),"SP1")</f>
        <v>SP1</v>
      </c>
      <c r="AB67" s="9" t="str">
        <f ca="1">IFERROR(__xludf.DUMMYFUNCTION("""COMPUTED_VALUE"""),"TIDAK MENYAMPAIKAN LAPORAN 1")</f>
        <v>TIDAK MENYAMPAIKAN LAPORAN 1</v>
      </c>
      <c r="AC67" s="9"/>
      <c r="AD67" s="9"/>
      <c r="AE67" s="9"/>
      <c r="AF67" s="7" t="str">
        <f ca="1">IFERROR(__xludf.DUMMYFUNCTION("""COMPUTED_VALUE"""),"BITUNG")</f>
        <v>BITUNG</v>
      </c>
      <c r="AG67" s="7"/>
      <c r="AH67" s="7"/>
      <c r="AI67" s="7"/>
      <c r="AJ67" s="7"/>
      <c r="AK67" s="6"/>
      <c r="AL67" s="6"/>
      <c r="AM67" s="6"/>
      <c r="AN67" s="6"/>
      <c r="AO67" s="6"/>
    </row>
    <row r="68" spans="1:41" ht="25.5" x14ac:dyDescent="0.3">
      <c r="A68" s="7">
        <f ca="1">IFERROR(__xludf.DUMMYFUNCTION("""COMPUTED_VALUE"""),1149)</f>
        <v>1149</v>
      </c>
      <c r="B68" s="7" t="str">
        <f ca="1">IFERROR(__xludf.DUMMYFUNCTION("""COMPUTED_VALUE"""),"23.13.00554")</f>
        <v>23.13.00554</v>
      </c>
      <c r="C68" s="7" t="str">
        <f ca="1">IFERROR(__xludf.DUMMYFUNCTION("""COMPUTED_VALUE"""),"PT PLN NUSANTARA POWER")</f>
        <v>PT PLN NUSANTARA POWER</v>
      </c>
      <c r="D68" s="7" t="str">
        <f ca="1">IFERROR(__xludf.DUMMYFUNCTION("""COMPUTED_VALUE"""),"08112828996/info@plnnusantarapower.co.id")</f>
        <v>08112828996/info@plnnusantarapower.co.id</v>
      </c>
      <c r="E68" s="7" t="str">
        <f ca="1">IFERROR(__xludf.DUMMYFUNCTION("""COMPUTED_VALUE"""),"JL. KETINTANG BARU NO. 11, KELURAHAN KETINTANG, KECAMATAN GAYUNGAN, KOTA SURABAYA, PROVINSI JAWA TIMUR")</f>
        <v>JL. KETINTANG BARU NO. 11, KELURAHAN KETINTANG, KECAMATAN GAYUNGAN, KOTA SURABAYA, PROVINSI JAWA TIMUR</v>
      </c>
      <c r="F68" s="7" t="str">
        <f ca="1">IFERROR(__xludf.DUMMYFUNCTION("""COMPUTED_VALUE"""),"PERSETUJUAN")</f>
        <v>PERSETUJUAN</v>
      </c>
      <c r="G68" s="7" t="str">
        <f ca="1">IFERROR(__xludf.DUMMYFUNCTION("""COMPUTED_VALUE"""),"BERUSAHA")</f>
        <v>BERUSAHA</v>
      </c>
      <c r="H68" s="7" t="str">
        <f ca="1">IFERROR(__xludf.DUMMYFUNCTION("""COMPUTED_VALUE"""),"SULAWESI UTARA")</f>
        <v>SULAWESI UTARA</v>
      </c>
      <c r="I68" s="7" t="str">
        <f ca="1">IFERROR(__xludf.DUMMYFUNCTION("""COMPUTED_VALUE"""),"LAUT SULAWESI")</f>
        <v>LAUT SULAWESI</v>
      </c>
      <c r="J68" s="7" t="str">
        <f ca="1">IFERROR(__xludf.DUMMYFUNCTION("""COMPUTED_VALUE"""),"TERMINAL KHUSUS PLTU AMURANG")</f>
        <v>TERMINAL KHUSUS PLTU AMURANG</v>
      </c>
      <c r="K68" s="7">
        <f ca="1">IFERROR(__xludf.DUMMYFUNCTION("""COMPUTED_VALUE"""),5.58)</f>
        <v>5.58</v>
      </c>
      <c r="L68" s="7" t="str">
        <f ca="1">IFERROR(__xludf.DUMMYFUNCTION("""COMPUTED_VALUE"""),"ha")</f>
        <v>ha</v>
      </c>
      <c r="M68" s="7"/>
      <c r="N68" s="7"/>
      <c r="O68" s="7" t="str">
        <f ca="1">IFERROR(__xludf.DUMMYFUNCTION("""COMPUTED_VALUE"""),"19102310517100009")</f>
        <v>19102310517100009</v>
      </c>
      <c r="P68" s="8">
        <f ca="1">IFERROR(__xludf.DUMMYFUNCTION("""COMPUTED_VALUE"""),45218)</f>
        <v>45218</v>
      </c>
      <c r="Q68" s="8">
        <f ca="1">IFERROR(__xludf.DUMMYFUNCTION("""COMPUTED_VALUE"""),45584)</f>
        <v>45584</v>
      </c>
      <c r="R68" s="7" t="str">
        <f ca="1">IFERROR(__xludf.DUMMYFUNCTION("""COMPUTED_VALUE"""),"Terlambat")</f>
        <v>Terlambat</v>
      </c>
      <c r="S68" s="7"/>
      <c r="T68" s="7"/>
      <c r="U68" s="7"/>
      <c r="V68" s="7"/>
      <c r="W68" s="7"/>
      <c r="X68" s="7"/>
      <c r="Y68" s="7"/>
      <c r="Z68" s="7"/>
      <c r="AA68" s="7" t="str">
        <f ca="1">IFERROR(__xludf.DUMMYFUNCTION("""COMPUTED_VALUE"""),"SP1")</f>
        <v>SP1</v>
      </c>
      <c r="AB68" s="9" t="str">
        <f ca="1">IFERROR(__xludf.DUMMYFUNCTION("""COMPUTED_VALUE"""),"LAPORAN 1 TERLAMBAT")</f>
        <v>LAPORAN 1 TERLAMBAT</v>
      </c>
      <c r="AC68" s="9"/>
      <c r="AD68" s="9"/>
      <c r="AE68" s="11"/>
      <c r="AF68" s="7" t="str">
        <f ca="1">IFERROR(__xludf.DUMMYFUNCTION("""COMPUTED_VALUE"""),"BITUNG")</f>
        <v>BITUNG</v>
      </c>
      <c r="AG68" s="8"/>
      <c r="AH68" s="7"/>
      <c r="AI68" s="7"/>
      <c r="AJ68" s="7"/>
      <c r="AK68" s="6"/>
      <c r="AL68" s="6"/>
      <c r="AM68" s="6"/>
      <c r="AN68" s="6"/>
      <c r="AO68" s="6"/>
    </row>
    <row r="69" spans="1:41" ht="50.5" x14ac:dyDescent="0.3">
      <c r="A69" s="7">
        <f ca="1">IFERROR(__xludf.DUMMYFUNCTION("""COMPUTED_VALUE"""),1151)</f>
        <v>1151</v>
      </c>
      <c r="B69" s="7" t="str">
        <f ca="1">IFERROR(__xludf.DUMMYFUNCTION("""COMPUTED_VALUE"""),"23.13.00559")</f>
        <v>23.13.00559</v>
      </c>
      <c r="C69" s="7" t="str">
        <f ca="1">IFERROR(__xludf.DUMMYFUNCTION("""COMPUTED_VALUE"""),"PT PASANGKAYU TAMBAK LESTARI")</f>
        <v>PT PASANGKAYU TAMBAK LESTARI</v>
      </c>
      <c r="D69" s="7" t="str">
        <f ca="1">IFERROR(__xludf.DUMMYFUNCTION("""COMPUTED_VALUE"""),"08121005916 / pt.pskayutl@gmail.com")</f>
        <v>08121005916 / pt.pskayutl@gmail.com</v>
      </c>
      <c r="E69" s="7" t="str">
        <f ca="1">IFERROR(__xludf.DUMMYFUNCTION("""COMPUTED_VALUE"""),"DESA RANDOMAYANG")</f>
        <v>DESA RANDOMAYANG</v>
      </c>
      <c r="F69" s="7" t="str">
        <f ca="1">IFERROR(__xludf.DUMMYFUNCTION("""COMPUTED_VALUE"""),"PERSETUJUAN")</f>
        <v>PERSETUJUAN</v>
      </c>
      <c r="G69" s="7" t="str">
        <f ca="1">IFERROR(__xludf.DUMMYFUNCTION("""COMPUTED_VALUE"""),"BERUSAHA")</f>
        <v>BERUSAHA</v>
      </c>
      <c r="H69" s="7" t="str">
        <f ca="1">IFERROR(__xludf.DUMMYFUNCTION("""COMPUTED_VALUE"""),"SULAWESI BARAT")</f>
        <v>SULAWESI BARAT</v>
      </c>
      <c r="I69" s="7" t="str">
        <f ca="1">IFERROR(__xludf.DUMMYFUNCTION("""COMPUTED_VALUE"""),"SELAT MAKASSAR")</f>
        <v>SELAT MAKASSAR</v>
      </c>
      <c r="J69" s="7" t="str">
        <f ca="1">IFERROR(__xludf.DUMMYFUNCTION("""COMPUTED_VALUE"""),"PEMASANGAN INSTALASI PERIKANAN")</f>
        <v>PEMASANGAN INSTALASI PERIKANAN</v>
      </c>
      <c r="K69" s="7">
        <f ca="1">IFERROR(__xludf.DUMMYFUNCTION("""COMPUTED_VALUE"""),0.1)</f>
        <v>0.1</v>
      </c>
      <c r="L69" s="7" t="str">
        <f ca="1">IFERROR(__xludf.DUMMYFUNCTION("""COMPUTED_VALUE"""),"ha")</f>
        <v>ha</v>
      </c>
      <c r="M69" s="7"/>
      <c r="N69" s="7"/>
      <c r="O69" s="7" t="str">
        <f ca="1">IFERROR(__xludf.DUMMYFUNCTION("""COMPUTED_VALUE"""),"19102310517600005")</f>
        <v>19102310517600005</v>
      </c>
      <c r="P69" s="8">
        <f ca="1">IFERROR(__xludf.DUMMYFUNCTION("""COMPUTED_VALUE"""),45218)</f>
        <v>45218</v>
      </c>
      <c r="Q69" s="7"/>
      <c r="R69" s="7" t="str">
        <f ca="1">IFERROR(__xludf.DUMMYFUNCTION("""COMPUTED_VALUE"""),"Tidak Menyampaikan Laporan")</f>
        <v>Tidak Menyampaikan Laporan</v>
      </c>
      <c r="S69" s="7"/>
      <c r="T69" s="7"/>
      <c r="U69" s="7"/>
      <c r="V69" s="7"/>
      <c r="W69" s="7"/>
      <c r="X69" s="7"/>
      <c r="Y69" s="7"/>
      <c r="Z69" s="7"/>
      <c r="AA69" s="7" t="str">
        <f ca="1">IFERROR(__xludf.DUMMYFUNCTION("""COMPUTED_VALUE"""),"SP1")</f>
        <v>SP1</v>
      </c>
      <c r="AB69" s="9" t="str">
        <f ca="1">IFERROR(__xludf.DUMMYFUNCTION("""COMPUTED_VALUE"""),"TIDAK MENYAMPAIKAN LAPORAN 1")</f>
        <v>TIDAK MENYAMPAIKAN LAPORAN 1</v>
      </c>
      <c r="AC69" s="9"/>
      <c r="AD69" s="9"/>
      <c r="AE69" s="9"/>
      <c r="AF69" s="7" t="str">
        <f ca="1">IFERROR(__xludf.DUMMYFUNCTION("""COMPUTED_VALUE"""),"BITUNG")</f>
        <v>BITUNG</v>
      </c>
      <c r="AG69" s="7"/>
      <c r="AH69" s="7"/>
      <c r="AI69" s="7"/>
      <c r="AJ69" s="7"/>
      <c r="AK69" s="6"/>
      <c r="AL69" s="6"/>
      <c r="AM69" s="6"/>
      <c r="AN69" s="6"/>
      <c r="AO69" s="6"/>
    </row>
    <row r="70" spans="1:41" ht="50.5" x14ac:dyDescent="0.3">
      <c r="A70" s="7">
        <f ca="1">IFERROR(__xludf.DUMMYFUNCTION("""COMPUTED_VALUE"""),1212)</f>
        <v>1212</v>
      </c>
      <c r="B70" s="7" t="str">
        <f ca="1">IFERROR(__xludf.DUMMYFUNCTION("""COMPUTED_VALUE"""),"23.13.00613")</f>
        <v>23.13.00613</v>
      </c>
      <c r="C70" s="7" t="str">
        <f ca="1">IFERROR(__xludf.DUMMYFUNCTION("""COMPUTED_VALUE"""),"CV UDIN JAYA")</f>
        <v>CV UDIN JAYA</v>
      </c>
      <c r="D70" s="7" t="str">
        <f ca="1">IFERROR(__xludf.DUMMYFUNCTION("""COMPUTED_VALUE"""),"082188388894 / safitrihsaid1994@gmail.com")</f>
        <v>082188388894 / safitrihsaid1994@gmail.com</v>
      </c>
      <c r="E70" s="7" t="str">
        <f ca="1">IFERROR(__xludf.DUMMYFUNCTION("""COMPUTED_VALUE"""),"JL. LANDAK BARU KOMPLEK NUSA LANDAK MAS BLOK A5 NO. 5, KELURAHAN BANTA-BANTAENG, KECAMATAN RAPPOCINI, KOTA MAKASSAR, PROVINSI SULAWESI SELATAN")</f>
        <v>JL. LANDAK BARU KOMPLEK NUSA LANDAK MAS BLOK A5 NO. 5, KELURAHAN BANTA-BANTAENG, KECAMATAN RAPPOCINI, KOTA MAKASSAR, PROVINSI SULAWESI SELATAN</v>
      </c>
      <c r="F70" s="7" t="str">
        <f ca="1">IFERROR(__xludf.DUMMYFUNCTION("""COMPUTED_VALUE"""),"PERSETUJUAN")</f>
        <v>PERSETUJUAN</v>
      </c>
      <c r="G70" s="7" t="str">
        <f ca="1">IFERROR(__xludf.DUMMYFUNCTION("""COMPUTED_VALUE"""),"BERUSAHA")</f>
        <v>BERUSAHA</v>
      </c>
      <c r="H70" s="7" t="str">
        <f ca="1">IFERROR(__xludf.DUMMYFUNCTION("""COMPUTED_VALUE"""),"SULAWESI SELATAN")</f>
        <v>SULAWESI SELATAN</v>
      </c>
      <c r="I70" s="7" t="str">
        <f ca="1">IFERROR(__xludf.DUMMYFUNCTION("""COMPUTED_VALUE"""),"SELAT MAKASSAR")</f>
        <v>SELAT MAKASSAR</v>
      </c>
      <c r="J70" s="7" t="str">
        <f ca="1">IFERROR(__xludf.DUMMYFUNCTION("""COMPUTED_VALUE"""),"PEMANFAATAN KERAMBA JARING APUNG BUDIDAYA HASIL LAUT")</f>
        <v>PEMANFAATAN KERAMBA JARING APUNG BUDIDAYA HASIL LAUT</v>
      </c>
      <c r="K70" s="7">
        <f ca="1">IFERROR(__xludf.DUMMYFUNCTION("""COMPUTED_VALUE"""),0.08)</f>
        <v>0.08</v>
      </c>
      <c r="L70" s="7" t="str">
        <f ca="1">IFERROR(__xludf.DUMMYFUNCTION("""COMPUTED_VALUE"""),"ha")</f>
        <v>ha</v>
      </c>
      <c r="M70" s="7"/>
      <c r="N70" s="7"/>
      <c r="O70" s="7" t="str">
        <f ca="1">IFERROR(__xludf.DUMMYFUNCTION("""COMPUTED_VALUE"""),"14112310517300011")</f>
        <v>14112310517300011</v>
      </c>
      <c r="P70" s="8">
        <f ca="1">IFERROR(__xludf.DUMMYFUNCTION("""COMPUTED_VALUE"""),45243)</f>
        <v>45243</v>
      </c>
      <c r="Q70" s="8"/>
      <c r="R70" s="7" t="str">
        <f ca="1">IFERROR(__xludf.DUMMYFUNCTION("""COMPUTED_VALUE"""),"Tidak Menyampaikan Laporan")</f>
        <v>Tidak Menyampaikan Laporan</v>
      </c>
      <c r="S70" s="7"/>
      <c r="T70" s="7"/>
      <c r="U70" s="7"/>
      <c r="V70" s="7"/>
      <c r="W70" s="7"/>
      <c r="X70" s="7"/>
      <c r="Y70" s="7"/>
      <c r="Z70" s="7"/>
      <c r="AA70" s="7" t="str">
        <f ca="1">IFERROR(__xludf.DUMMYFUNCTION("""COMPUTED_VALUE"""),"SP1")</f>
        <v>SP1</v>
      </c>
      <c r="AB70" s="9" t="str">
        <f ca="1">IFERROR(__xludf.DUMMYFUNCTION("""COMPUTED_VALUE"""),"TIDAK MENYAMPAIKAN LAPORAN 1")</f>
        <v>TIDAK MENYAMPAIKAN LAPORAN 1</v>
      </c>
      <c r="AC70" s="9"/>
      <c r="AD70" s="9"/>
      <c r="AE70" s="11"/>
      <c r="AF70" s="7" t="str">
        <f ca="1">IFERROR(__xludf.DUMMYFUNCTION("""COMPUTED_VALUE"""),"BITUNG")</f>
        <v>BITUNG</v>
      </c>
      <c r="AG70" s="8"/>
      <c r="AH70" s="7"/>
      <c r="AI70" s="7"/>
      <c r="AJ70" s="7"/>
      <c r="AK70" s="6"/>
      <c r="AL70" s="6"/>
      <c r="AM70" s="6"/>
      <c r="AN70" s="6"/>
      <c r="AO70" s="6"/>
    </row>
    <row r="71" spans="1:41" ht="25.5" x14ac:dyDescent="0.3">
      <c r="A71" s="7">
        <f ca="1">IFERROR(__xludf.DUMMYFUNCTION("""COMPUTED_VALUE"""),1214)</f>
        <v>1214</v>
      </c>
      <c r="B71" s="7" t="str">
        <f ca="1">IFERROR(__xludf.DUMMYFUNCTION("""COMPUTED_VALUE"""),"23.13.00647")</f>
        <v>23.13.00647</v>
      </c>
      <c r="C71" s="7" t="str">
        <f ca="1">IFERROR(__xludf.DUMMYFUNCTION("""COMPUTED_VALUE"""),"PT ANEKA BARA LESTARI")</f>
        <v>PT ANEKA BARA LESTARI</v>
      </c>
      <c r="D71" s="7" t="str">
        <f ca="1">IFERROR(__xludf.DUMMYFUNCTION("""COMPUTED_VALUE"""),"08121811725 / pt_abl@ymail.com")</f>
        <v>08121811725 / pt_abl@ymail.com</v>
      </c>
      <c r="E71" s="7" t="str">
        <f ca="1">IFERROR(__xludf.DUMMYFUNCTION("""COMPUTED_VALUE"""),"RUKAN PERKANTORAN KEBON JERUK BARU BLOK A NO. 8, JL. ARJUNA SELATAN, KELURAHAN KEBON JERUK, KECAMATAN KEBON JERUK, KOTA JAKARTA BARAT, PROVINSI DKI JAKARTA")</f>
        <v>RUKAN PERKANTORAN KEBON JERUK BARU BLOK A NO. 8, JL. ARJUNA SELATAN, KELURAHAN KEBON JERUK, KECAMATAN KEBON JERUK, KOTA JAKARTA BARAT, PROVINSI DKI JAKARTA</v>
      </c>
      <c r="F71" s="7" t="str">
        <f ca="1">IFERROR(__xludf.DUMMYFUNCTION("""COMPUTED_VALUE"""),"PERSETUJUAN")</f>
        <v>PERSETUJUAN</v>
      </c>
      <c r="G71" s="7" t="str">
        <f ca="1">IFERROR(__xludf.DUMMYFUNCTION("""COMPUTED_VALUE"""),"BERUSAHA")</f>
        <v>BERUSAHA</v>
      </c>
      <c r="H71" s="7" t="str">
        <f ca="1">IFERROR(__xludf.DUMMYFUNCTION("""COMPUTED_VALUE"""),"SULAWESI BARAT")</f>
        <v>SULAWESI BARAT</v>
      </c>
      <c r="I71" s="7" t="str">
        <f ca="1">IFERROR(__xludf.DUMMYFUNCTION("""COMPUTED_VALUE"""),"SELAT MAKASSAR")</f>
        <v>SELAT MAKASSAR</v>
      </c>
      <c r="J71" s="7" t="str">
        <f ca="1">IFERROR(__xludf.DUMMYFUNCTION("""COMPUTED_VALUE"""),"TERMINAL KHUSUS")</f>
        <v>TERMINAL KHUSUS</v>
      </c>
      <c r="K71" s="7">
        <f ca="1">IFERROR(__xludf.DUMMYFUNCTION("""COMPUTED_VALUE"""),17.77)</f>
        <v>17.77</v>
      </c>
      <c r="L71" s="7" t="str">
        <f ca="1">IFERROR(__xludf.DUMMYFUNCTION("""COMPUTED_VALUE"""),"ha")</f>
        <v>ha</v>
      </c>
      <c r="M71" s="7"/>
      <c r="N71" s="7"/>
      <c r="O71" s="7" t="str">
        <f ca="1">IFERROR(__xludf.DUMMYFUNCTION("""COMPUTED_VALUE"""),"13112310517600001")</f>
        <v>13112310517600001</v>
      </c>
      <c r="P71" s="8">
        <f ca="1">IFERROR(__xludf.DUMMYFUNCTION("""COMPUTED_VALUE"""),45243)</f>
        <v>45243</v>
      </c>
      <c r="Q71" s="8">
        <f ca="1">IFERROR(__xludf.DUMMYFUNCTION("""COMPUTED_VALUE"""),45757)</f>
        <v>45757</v>
      </c>
      <c r="R71" s="7" t="str">
        <f ca="1">IFERROR(__xludf.DUMMYFUNCTION("""COMPUTED_VALUE"""),"Terlambat")</f>
        <v>Terlambat</v>
      </c>
      <c r="S71" s="7"/>
      <c r="T71" s="7"/>
      <c r="U71" s="7"/>
      <c r="V71" s="7"/>
      <c r="W71" s="7"/>
      <c r="X71" s="7"/>
      <c r="Y71" s="7"/>
      <c r="Z71" s="7"/>
      <c r="AA71" s="7" t="str">
        <f ca="1">IFERROR(__xludf.DUMMYFUNCTION("""COMPUTED_VALUE"""),"SP1")</f>
        <v>SP1</v>
      </c>
      <c r="AB71" s="9" t="str">
        <f ca="1">IFERROR(__xludf.DUMMYFUNCTION("""COMPUTED_VALUE"""),"LAPORAN 1 TERLAMBAT")</f>
        <v>LAPORAN 1 TERLAMBAT</v>
      </c>
      <c r="AC71" s="9"/>
      <c r="AD71" s="9"/>
      <c r="AE71" s="11"/>
      <c r="AF71" s="7" t="str">
        <f ca="1">IFERROR(__xludf.DUMMYFUNCTION("""COMPUTED_VALUE"""),"BITUNG")</f>
        <v>BITUNG</v>
      </c>
      <c r="AG71" s="8"/>
      <c r="AH71" s="7"/>
      <c r="AI71" s="7"/>
      <c r="AJ71" s="7"/>
      <c r="AK71" s="6"/>
      <c r="AL71" s="6"/>
      <c r="AM71" s="6"/>
      <c r="AN71" s="6"/>
      <c r="AO71" s="6"/>
    </row>
    <row r="72" spans="1:41" ht="25.5" x14ac:dyDescent="0.3">
      <c r="A72" s="7">
        <f ca="1">IFERROR(__xludf.DUMMYFUNCTION("""COMPUTED_VALUE"""),1228)</f>
        <v>1228</v>
      </c>
      <c r="B72" s="7" t="str">
        <f ca="1">IFERROR(__xludf.DUMMYFUNCTION("""COMPUTED_VALUE"""),"23.13.00596")</f>
        <v>23.13.00596</v>
      </c>
      <c r="C72" s="7" t="str">
        <f ca="1">IFERROR(__xludf.DUMMYFUNCTION("""COMPUTED_VALUE"""),"PT PLN NUSANTARA POWER")</f>
        <v>PT PLN NUSANTARA POWER</v>
      </c>
      <c r="D72" s="7" t="str">
        <f ca="1">IFERROR(__xludf.DUMMYFUNCTION("""COMPUTED_VALUE"""),"08112828996/info@plnnusantarapower.co.id")</f>
        <v>08112828996/info@plnnusantarapower.co.id</v>
      </c>
      <c r="E72" s="7" t="str">
        <f ca="1">IFERROR(__xludf.DUMMYFUNCTION("""COMPUTED_VALUE"""),"JL. KETINTANG BARU NO. 11, KELURAHAN KETINTANG, KECAMATAN GAYUNGAN, KOTA SURABAYA, PROVINSI JAWA TIMUR")</f>
        <v>JL. KETINTANG BARU NO. 11, KELURAHAN KETINTANG, KECAMATAN GAYUNGAN, KOTA SURABAYA, PROVINSI JAWA TIMUR</v>
      </c>
      <c r="F72" s="7" t="str">
        <f ca="1">IFERROR(__xludf.DUMMYFUNCTION("""COMPUTED_VALUE"""),"PERSETUJUAN")</f>
        <v>PERSETUJUAN</v>
      </c>
      <c r="G72" s="7" t="str">
        <f ca="1">IFERROR(__xludf.DUMMYFUNCTION("""COMPUTED_VALUE"""),"BERUSAHA")</f>
        <v>BERUSAHA</v>
      </c>
      <c r="H72" s="7" t="str">
        <f ca="1">IFERROR(__xludf.DUMMYFUNCTION("""COMPUTED_VALUE"""),"SULAWESI TENGAH")</f>
        <v>SULAWESI TENGAH</v>
      </c>
      <c r="I72" s="7" t="str">
        <f ca="1">IFERROR(__xludf.DUMMYFUNCTION("""COMPUTED_VALUE"""),"TELUK TOMINI")</f>
        <v>TELUK TOMINI</v>
      </c>
      <c r="J72" s="7" t="str">
        <f ca="1">IFERROR(__xludf.DUMMYFUNCTION("""COMPUTED_VALUE"""),"TERMINAL KHUSUS PLTU AMPANA")</f>
        <v>TERMINAL KHUSUS PLTU AMPANA</v>
      </c>
      <c r="K72" s="7">
        <f ca="1">IFERROR(__xludf.DUMMYFUNCTION("""COMPUTED_VALUE"""),6.23)</f>
        <v>6.23</v>
      </c>
      <c r="L72" s="7" t="str">
        <f ca="1">IFERROR(__xludf.DUMMYFUNCTION("""COMPUTED_VALUE"""),"ha")</f>
        <v>ha</v>
      </c>
      <c r="M72" s="7"/>
      <c r="N72" s="7"/>
      <c r="O72" s="7" t="str">
        <f ca="1">IFERROR(__xludf.DUMMYFUNCTION("""COMPUTED_VALUE"""),"15112310517200002")</f>
        <v>15112310517200002</v>
      </c>
      <c r="P72" s="8">
        <f ca="1">IFERROR(__xludf.DUMMYFUNCTION("""COMPUTED_VALUE"""),45245)</f>
        <v>45245</v>
      </c>
      <c r="Q72" s="8">
        <f ca="1">IFERROR(__xludf.DUMMYFUNCTION("""COMPUTED_VALUE"""),45617)</f>
        <v>45617</v>
      </c>
      <c r="R72" s="7" t="str">
        <f ca="1">IFERROR(__xludf.DUMMYFUNCTION("""COMPUTED_VALUE"""),"Terlambat")</f>
        <v>Terlambat</v>
      </c>
      <c r="S72" s="7"/>
      <c r="T72" s="7"/>
      <c r="U72" s="7"/>
      <c r="V72" s="7"/>
      <c r="W72" s="7"/>
      <c r="X72" s="7"/>
      <c r="Y72" s="7"/>
      <c r="Z72" s="7"/>
      <c r="AA72" s="7" t="str">
        <f ca="1">IFERROR(__xludf.DUMMYFUNCTION("""COMPUTED_VALUE"""),"SP1")</f>
        <v>SP1</v>
      </c>
      <c r="AB72" s="9" t="str">
        <f ca="1">IFERROR(__xludf.DUMMYFUNCTION("""COMPUTED_VALUE"""),"LAPORAN 1 TERLAMBAT")</f>
        <v>LAPORAN 1 TERLAMBAT</v>
      </c>
      <c r="AC72" s="9"/>
      <c r="AD72" s="9"/>
      <c r="AE72" s="11"/>
      <c r="AF72" s="7" t="str">
        <f ca="1">IFERROR(__xludf.DUMMYFUNCTION("""COMPUTED_VALUE"""),"BITUNG")</f>
        <v>BITUNG</v>
      </c>
      <c r="AG72" s="8"/>
      <c r="AH72" s="7"/>
      <c r="AI72" s="7"/>
      <c r="AJ72" s="7"/>
      <c r="AK72" s="6"/>
      <c r="AL72" s="6"/>
      <c r="AM72" s="6"/>
      <c r="AN72" s="6"/>
      <c r="AO72" s="6"/>
    </row>
    <row r="73" spans="1:41" ht="25.5" x14ac:dyDescent="0.3">
      <c r="A73" s="7">
        <f ca="1">IFERROR(__xludf.DUMMYFUNCTION("""COMPUTED_VALUE"""),1260)</f>
        <v>1260</v>
      </c>
      <c r="B73" s="7" t="str">
        <f ca="1">IFERROR(__xludf.DUMMYFUNCTION("""COMPUTED_VALUE"""),"23.13.00650")</f>
        <v>23.13.00650</v>
      </c>
      <c r="C73" s="7" t="str">
        <f ca="1">IFERROR(__xludf.DUMMYFUNCTION("""COMPUTED_VALUE"""),"PT PERTAMINA PATRA NIAGA")</f>
        <v>PT PERTAMINA PATRA NIAGA</v>
      </c>
      <c r="D73" s="7" t="str">
        <f ca="1">IFERROR(__xludf.DUMMYFUNCTION("""COMPUTED_VALUE"""),"0215209009 / perizinan.ppn@pertamina.com")</f>
        <v>0215209009 / perizinan.ppn@pertamina.com</v>
      </c>
      <c r="E73" s="7" t="str">
        <f ca="1">IFERROR(__xludf.DUMMYFUNCTION("""COMPUTED_VALUE"""),"GEDUNG WISMA TUGU II LT. 2, JL. HR. RASUNA SAID KAV. C7-9, KELURAHAN KARET KUNINGAN, KECAMATAN SETIABUDI, KOTA JAKARTA SELATAN, PROVINSI DKI JAKARTA")</f>
        <v>GEDUNG WISMA TUGU II LT. 2, JL. HR. RASUNA SAID KAV. C7-9, KELURAHAN KARET KUNINGAN, KECAMATAN SETIABUDI, KOTA JAKARTA SELATAN, PROVINSI DKI JAKARTA</v>
      </c>
      <c r="F73" s="7" t="str">
        <f ca="1">IFERROR(__xludf.DUMMYFUNCTION("""COMPUTED_VALUE"""),"PERSETUJUAN")</f>
        <v>PERSETUJUAN</v>
      </c>
      <c r="G73" s="7" t="str">
        <f ca="1">IFERROR(__xludf.DUMMYFUNCTION("""COMPUTED_VALUE"""),"BERUSAHA")</f>
        <v>BERUSAHA</v>
      </c>
      <c r="H73" s="7" t="str">
        <f ca="1">IFERROR(__xludf.DUMMYFUNCTION("""COMPUTED_VALUE"""),"SULAWESI TENGAH")</f>
        <v>SULAWESI TENGAH</v>
      </c>
      <c r="I73" s="7" t="str">
        <f ca="1">IFERROR(__xludf.DUMMYFUNCTION("""COMPUTED_VALUE"""),"LAUT BANDA")</f>
        <v>LAUT BANDA</v>
      </c>
      <c r="J73" s="7" t="str">
        <f ca="1">IFERROR(__xludf.DUMMYFUNCTION("""COMPUTED_VALUE"""),"PEMBANGUNAN DERMAGA FUEL TERMINAL LUWUK")</f>
        <v>PEMBANGUNAN DERMAGA FUEL TERMINAL LUWUK</v>
      </c>
      <c r="K73" s="7">
        <f ca="1">IFERROR(__xludf.DUMMYFUNCTION("""COMPUTED_VALUE"""),4.15)</f>
        <v>4.1500000000000004</v>
      </c>
      <c r="L73" s="7" t="str">
        <f ca="1">IFERROR(__xludf.DUMMYFUNCTION("""COMPUTED_VALUE"""),"ha")</f>
        <v>ha</v>
      </c>
      <c r="M73" s="7"/>
      <c r="N73" s="7"/>
      <c r="O73" s="7" t="str">
        <f ca="1">IFERROR(__xludf.DUMMYFUNCTION("""COMPUTED_VALUE"""),"20112310517200002")</f>
        <v>20112310517200002</v>
      </c>
      <c r="P73" s="8">
        <f ca="1">IFERROR(__xludf.DUMMYFUNCTION("""COMPUTED_VALUE"""),45250)</f>
        <v>45250</v>
      </c>
      <c r="Q73" s="8">
        <f ca="1">IFERROR(__xludf.DUMMYFUNCTION("""COMPUTED_VALUE"""),45694)</f>
        <v>45694</v>
      </c>
      <c r="R73" s="7" t="str">
        <f ca="1">IFERROR(__xludf.DUMMYFUNCTION("""COMPUTED_VALUE"""),"Terlambat")</f>
        <v>Terlambat</v>
      </c>
      <c r="S73" s="7"/>
      <c r="T73" s="7"/>
      <c r="U73" s="7"/>
      <c r="V73" s="7"/>
      <c r="W73" s="7"/>
      <c r="X73" s="7"/>
      <c r="Y73" s="7"/>
      <c r="Z73" s="7"/>
      <c r="AA73" s="7" t="str">
        <f ca="1">IFERROR(__xludf.DUMMYFUNCTION("""COMPUTED_VALUE"""),"SP1")</f>
        <v>SP1</v>
      </c>
      <c r="AB73" s="9" t="str">
        <f ca="1">IFERROR(__xludf.DUMMYFUNCTION("""COMPUTED_VALUE"""),"LAPORAN 1 TERLAMBAT")</f>
        <v>LAPORAN 1 TERLAMBAT</v>
      </c>
      <c r="AC73" s="9"/>
      <c r="AD73" s="9"/>
      <c r="AE73" s="11"/>
      <c r="AF73" s="7" t="str">
        <f ca="1">IFERROR(__xludf.DUMMYFUNCTION("""COMPUTED_VALUE"""),"BITUNG")</f>
        <v>BITUNG</v>
      </c>
      <c r="AG73" s="8"/>
      <c r="AH73" s="7"/>
      <c r="AI73" s="7"/>
      <c r="AJ73" s="7"/>
      <c r="AK73" s="6"/>
      <c r="AL73" s="6"/>
      <c r="AM73" s="6"/>
      <c r="AN73" s="6"/>
      <c r="AO73" s="6"/>
    </row>
    <row r="74" spans="1:41" ht="25.5" x14ac:dyDescent="0.3">
      <c r="A74" s="7">
        <f ca="1">IFERROR(__xludf.DUMMYFUNCTION("""COMPUTED_VALUE"""),1261)</f>
        <v>1261</v>
      </c>
      <c r="B74" s="7" t="str">
        <f ca="1">IFERROR(__xludf.DUMMYFUNCTION("""COMPUTED_VALUE"""),"23.13.00651")</f>
        <v>23.13.00651</v>
      </c>
      <c r="C74" s="7" t="str">
        <f ca="1">IFERROR(__xludf.DUMMYFUNCTION("""COMPUTED_VALUE"""),"PT PERTAMINA PATRA NIAGA")</f>
        <v>PT PERTAMINA PATRA NIAGA</v>
      </c>
      <c r="D74" s="7" t="str">
        <f ca="1">IFERROR(__xludf.DUMMYFUNCTION("""COMPUTED_VALUE"""),"0215209009 / perizinan.ppn@pertamina.com")</f>
        <v>0215209009 / perizinan.ppn@pertamina.com</v>
      </c>
      <c r="E74" s="7" t="str">
        <f ca="1">IFERROR(__xludf.DUMMYFUNCTION("""COMPUTED_VALUE"""),"GEDUNG WISMA TUGU II LT. 2, JL. HR. RASUNA SAID KAV. C7-9, KELURAHAN KARET KUNINGAN, KECAMATAN SETIABUDI, KOTA JAKARTA SELATAN, PROVINSI DKI JAKARTA")</f>
        <v>GEDUNG WISMA TUGU II LT. 2, JL. HR. RASUNA SAID KAV. C7-9, KELURAHAN KARET KUNINGAN, KECAMATAN SETIABUDI, KOTA JAKARTA SELATAN, PROVINSI DKI JAKARTA</v>
      </c>
      <c r="F74" s="7" t="str">
        <f ca="1">IFERROR(__xludf.DUMMYFUNCTION("""COMPUTED_VALUE"""),"PERSETUJUAN")</f>
        <v>PERSETUJUAN</v>
      </c>
      <c r="G74" s="7" t="str">
        <f ca="1">IFERROR(__xludf.DUMMYFUNCTION("""COMPUTED_VALUE"""),"BERUSAHA")</f>
        <v>BERUSAHA</v>
      </c>
      <c r="H74" s="7" t="str">
        <f ca="1">IFERROR(__xludf.DUMMYFUNCTION("""COMPUTED_VALUE"""),"SULAWESI TENGAH")</f>
        <v>SULAWESI TENGAH</v>
      </c>
      <c r="I74" s="7" t="str">
        <f ca="1">IFERROR(__xludf.DUMMYFUNCTION("""COMPUTED_VALUE"""),"LAUT BANDA")</f>
        <v>LAUT BANDA</v>
      </c>
      <c r="J74" s="7" t="str">
        <f ca="1">IFERROR(__xludf.DUMMYFUNCTION("""COMPUTED_VALUE"""),"PEMBANGUNAN DERMAGA FUEL TERMINAL BANGGAI")</f>
        <v>PEMBANGUNAN DERMAGA FUEL TERMINAL BANGGAI</v>
      </c>
      <c r="K74" s="7">
        <f ca="1">IFERROR(__xludf.DUMMYFUNCTION("""COMPUTED_VALUE"""),2.99)</f>
        <v>2.99</v>
      </c>
      <c r="L74" s="7" t="str">
        <f ca="1">IFERROR(__xludf.DUMMYFUNCTION("""COMPUTED_VALUE"""),"ha")</f>
        <v>ha</v>
      </c>
      <c r="M74" s="7"/>
      <c r="N74" s="7"/>
      <c r="O74" s="7" t="str">
        <f ca="1">IFERROR(__xludf.DUMMYFUNCTION("""COMPUTED_VALUE"""),"20112310517200003")</f>
        <v>20112310517200003</v>
      </c>
      <c r="P74" s="8">
        <f ca="1">IFERROR(__xludf.DUMMYFUNCTION("""COMPUTED_VALUE"""),45250)</f>
        <v>45250</v>
      </c>
      <c r="Q74" s="8">
        <f ca="1">IFERROR(__xludf.DUMMYFUNCTION("""COMPUTED_VALUE"""),45664)</f>
        <v>45664</v>
      </c>
      <c r="R74" s="7" t="str">
        <f ca="1">IFERROR(__xludf.DUMMYFUNCTION("""COMPUTED_VALUE"""),"Terlambat")</f>
        <v>Terlambat</v>
      </c>
      <c r="S74" s="7"/>
      <c r="T74" s="7"/>
      <c r="U74" s="7"/>
      <c r="V74" s="7"/>
      <c r="W74" s="7"/>
      <c r="X74" s="7"/>
      <c r="Y74" s="7"/>
      <c r="Z74" s="7"/>
      <c r="AA74" s="7" t="str">
        <f ca="1">IFERROR(__xludf.DUMMYFUNCTION("""COMPUTED_VALUE"""),"SP1")</f>
        <v>SP1</v>
      </c>
      <c r="AB74" s="9" t="str">
        <f ca="1">IFERROR(__xludf.DUMMYFUNCTION("""COMPUTED_VALUE"""),"LAPORAN 1 TERLAMBAT")</f>
        <v>LAPORAN 1 TERLAMBAT</v>
      </c>
      <c r="AC74" s="9"/>
      <c r="AD74" s="9"/>
      <c r="AE74" s="11"/>
      <c r="AF74" s="7" t="str">
        <f ca="1">IFERROR(__xludf.DUMMYFUNCTION("""COMPUTED_VALUE"""),"BITUNG")</f>
        <v>BITUNG</v>
      </c>
      <c r="AG74" s="8"/>
      <c r="AH74" s="7"/>
      <c r="AI74" s="7"/>
      <c r="AJ74" s="7"/>
      <c r="AK74" s="6"/>
      <c r="AL74" s="6"/>
      <c r="AM74" s="6"/>
      <c r="AN74" s="6"/>
      <c r="AO74" s="6"/>
    </row>
    <row r="75" spans="1:41" ht="50.5" x14ac:dyDescent="0.3">
      <c r="A75" s="7">
        <f ca="1">IFERROR(__xludf.DUMMYFUNCTION("""COMPUTED_VALUE"""),1266)</f>
        <v>1266</v>
      </c>
      <c r="B75" s="7" t="str">
        <f ca="1">IFERROR(__xludf.DUMMYFUNCTION("""COMPUTED_VALUE"""),"23.13.00682")</f>
        <v>23.13.00682</v>
      </c>
      <c r="C75" s="7" t="str">
        <f ca="1">IFERROR(__xludf.DUMMYFUNCTION("""COMPUTED_VALUE"""),"PT PERTAMINA EP")</f>
        <v>PT PERTAMINA EP</v>
      </c>
      <c r="D75" s="7" t="str">
        <f ca="1">IFERROR(__xludf.DUMMYFUNCTION("""COMPUTED_VALUE"""),"02157974000 / pep-formalities.lr@pertamina.com")</f>
        <v>02157974000 / pep-formalities.lr@pertamina.com</v>
      </c>
      <c r="E75" s="7" t="str">
        <f ca="1">IFERROR(__xludf.DUMMYFUNCTION("""COMPUTED_VALUE"""),"MENARA STANDARD CHARTERED LT. 21, JL. PROF. DR. SATRIO NO. 164, KELURAHAN KARET SEMANGGI, KECAMATAN SETIABUDI, KOTA JAKARTA SELATAN, PROVINSI DKI JAKARTA")</f>
        <v>MENARA STANDARD CHARTERED LT. 21, JL. PROF. DR. SATRIO NO. 164, KELURAHAN KARET SEMANGGI, KECAMATAN SETIABUDI, KOTA JAKARTA SELATAN, PROVINSI DKI JAKARTA</v>
      </c>
      <c r="F75" s="7" t="str">
        <f ca="1">IFERROR(__xludf.DUMMYFUNCTION("""COMPUTED_VALUE"""),"PERSETUJUAN")</f>
        <v>PERSETUJUAN</v>
      </c>
      <c r="G75" s="7" t="str">
        <f ca="1">IFERROR(__xludf.DUMMYFUNCTION("""COMPUTED_VALUE"""),"BERUSAHA")</f>
        <v>BERUSAHA</v>
      </c>
      <c r="H75" s="7" t="str">
        <f ca="1">IFERROR(__xludf.DUMMYFUNCTION("""COMPUTED_VALUE"""),"SULAWESI TENGAH")</f>
        <v>SULAWESI TENGAH</v>
      </c>
      <c r="I75" s="7" t="str">
        <f ca="1">IFERROR(__xludf.DUMMYFUNCTION("""COMPUTED_VALUE"""),"LAUT BANDA")</f>
        <v>LAUT BANDA</v>
      </c>
      <c r="J75" s="7" t="str">
        <f ca="1">IFERROR(__xludf.DUMMYFUNCTION("""COMPUTED_VALUE"""),"RENCANA PENGEBORAN EKSPLORASI OFFSHORE SUMUR WEST BELUGA (WBG)-001, ROAROA (ROA)-001, BELUGA (BGA)-001, DAN WEST ROARORA (WRO)-001")</f>
        <v>RENCANA PENGEBORAN EKSPLORASI OFFSHORE SUMUR WEST BELUGA (WBG)-001, ROAROA (ROA)-001, BELUGA (BGA)-001, DAN WEST ROARORA (WRO)-001</v>
      </c>
      <c r="K75" s="7">
        <f ca="1">IFERROR(__xludf.DUMMYFUNCTION("""COMPUTED_VALUE"""),11.96)</f>
        <v>11.96</v>
      </c>
      <c r="L75" s="7" t="str">
        <f ca="1">IFERROR(__xludf.DUMMYFUNCTION("""COMPUTED_VALUE"""),"ha")</f>
        <v>ha</v>
      </c>
      <c r="M75" s="7"/>
      <c r="N75" s="7"/>
      <c r="O75" s="7" t="str">
        <f ca="1">IFERROR(__xludf.DUMMYFUNCTION("""COMPUTED_VALUE"""),"20112310517200001")</f>
        <v>20112310517200001</v>
      </c>
      <c r="P75" s="8">
        <f ca="1">IFERROR(__xludf.DUMMYFUNCTION("""COMPUTED_VALUE"""),45250)</f>
        <v>45250</v>
      </c>
      <c r="Q75" s="8"/>
      <c r="R75" s="7" t="str">
        <f ca="1">IFERROR(__xludf.DUMMYFUNCTION("""COMPUTED_VALUE"""),"Tidak Menyampaikan Laporan")</f>
        <v>Tidak Menyampaikan Laporan</v>
      </c>
      <c r="S75" s="8"/>
      <c r="T75" s="7"/>
      <c r="U75" s="7"/>
      <c r="V75" s="7"/>
      <c r="W75" s="7"/>
      <c r="X75" s="7"/>
      <c r="Y75" s="7"/>
      <c r="Z75" s="7"/>
      <c r="AA75" s="7" t="str">
        <f ca="1">IFERROR(__xludf.DUMMYFUNCTION("""COMPUTED_VALUE"""),"SP1")</f>
        <v>SP1</v>
      </c>
      <c r="AB75" s="9" t="str">
        <f ca="1">IFERROR(__xludf.DUMMYFUNCTION("""COMPUTED_VALUE"""),"TIDAK MENYAMPAIKAN LAPORAN 1")</f>
        <v>TIDAK MENYAMPAIKAN LAPORAN 1</v>
      </c>
      <c r="AC75" s="9"/>
      <c r="AD75" s="9"/>
      <c r="AE75" s="11"/>
      <c r="AF75" s="7" t="str">
        <f ca="1">IFERROR(__xludf.DUMMYFUNCTION("""COMPUTED_VALUE"""),"BITUNG")</f>
        <v>BITUNG</v>
      </c>
      <c r="AG75" s="8"/>
      <c r="AH75" s="7"/>
      <c r="AI75" s="7"/>
      <c r="AJ75" s="7"/>
      <c r="AK75" s="6"/>
      <c r="AL75" s="6"/>
      <c r="AM75" s="6"/>
      <c r="AN75" s="6"/>
      <c r="AO75" s="6"/>
    </row>
    <row r="76" spans="1:41" ht="50.5" x14ac:dyDescent="0.3">
      <c r="A76" s="7">
        <f ca="1">IFERROR(__xludf.DUMMYFUNCTION("""COMPUTED_VALUE"""),1269)</f>
        <v>1269</v>
      </c>
      <c r="B76" s="7" t="str">
        <f ca="1">IFERROR(__xludf.DUMMYFUNCTION("""COMPUTED_VALUE"""),"23.13.00536")</f>
        <v>23.13.00536</v>
      </c>
      <c r="C76" s="7" t="str">
        <f ca="1">IFERROR(__xludf.DUMMYFUNCTION("""COMPUTED_VALUE"""),"CV GAPURA")</f>
        <v>CV GAPURA</v>
      </c>
      <c r="D76" s="7" t="str">
        <f ca="1">IFERROR(__xludf.DUMMYFUNCTION("""COMPUTED_VALUE"""),"0811418276 / vincentpaliiling@gmail.com")</f>
        <v>0811418276 / vincentpaliiling@gmail.com</v>
      </c>
      <c r="E76" s="7" t="str">
        <f ca="1">IFERROR(__xludf.DUMMYFUNCTION("""COMPUTED_VALUE"""),"JL. GUNUNG BROMO NO. 121, KELURAHAN TANJUNG MERDEKA, KECAMATAN TAMALATE, KOTA MAKASSAR, PROVINSI SULAWESI SELATAN")</f>
        <v>JL. GUNUNG BROMO NO. 121, KELURAHAN TANJUNG MERDEKA, KECAMATAN TAMALATE, KOTA MAKASSAR, PROVINSI SULAWESI SELATAN</v>
      </c>
      <c r="F76" s="7" t="str">
        <f ca="1">IFERROR(__xludf.DUMMYFUNCTION("""COMPUTED_VALUE"""),"PERSETUJUAN")</f>
        <v>PERSETUJUAN</v>
      </c>
      <c r="G76" s="7" t="str">
        <f ca="1">IFERROR(__xludf.DUMMYFUNCTION("""COMPUTED_VALUE"""),"BERUSAHA")</f>
        <v>BERUSAHA</v>
      </c>
      <c r="H76" s="7" t="str">
        <f ca="1">IFERROR(__xludf.DUMMYFUNCTION("""COMPUTED_VALUE"""),"SULAWESI SELATAN")</f>
        <v>SULAWESI SELATAN</v>
      </c>
      <c r="I76" s="7" t="str">
        <f ca="1">IFERROR(__xludf.DUMMYFUNCTION("""COMPUTED_VALUE"""),"SELAT MAKASSAR")</f>
        <v>SELAT MAKASSAR</v>
      </c>
      <c r="J76" s="7" t="str">
        <f ca="1">IFERROR(__xludf.DUMMYFUNCTION("""COMPUTED_VALUE"""),"PEMASANGAN INSTALASI PERIKANAN KEGIATAN BUDIDAYA UDANG VANAME")</f>
        <v>PEMASANGAN INSTALASI PERIKANAN KEGIATAN BUDIDAYA UDANG VANAME</v>
      </c>
      <c r="K76" s="7">
        <f ca="1">IFERROR(__xludf.DUMMYFUNCTION("""COMPUTED_VALUE"""),0.6)</f>
        <v>0.6</v>
      </c>
      <c r="L76" s="7" t="str">
        <f ca="1">IFERROR(__xludf.DUMMYFUNCTION("""COMPUTED_VALUE"""),"ha")</f>
        <v>ha</v>
      </c>
      <c r="M76" s="7"/>
      <c r="N76" s="7"/>
      <c r="O76" s="7" t="str">
        <f ca="1">IFERROR(__xludf.DUMMYFUNCTION("""COMPUTED_VALUE"""),"21112310517300014")</f>
        <v>21112310517300014</v>
      </c>
      <c r="P76" s="8">
        <f ca="1">IFERROR(__xludf.DUMMYFUNCTION("""COMPUTED_VALUE"""),45251)</f>
        <v>45251</v>
      </c>
      <c r="Q76" s="8"/>
      <c r="R76" s="7" t="str">
        <f ca="1">IFERROR(__xludf.DUMMYFUNCTION("""COMPUTED_VALUE"""),"Tidak Menyampaikan Laporan")</f>
        <v>Tidak Menyampaikan Laporan</v>
      </c>
      <c r="S76" s="7"/>
      <c r="T76" s="7"/>
      <c r="U76" s="7"/>
      <c r="V76" s="7"/>
      <c r="W76" s="7"/>
      <c r="X76" s="7"/>
      <c r="Y76" s="7"/>
      <c r="Z76" s="7"/>
      <c r="AA76" s="7" t="str">
        <f ca="1">IFERROR(__xludf.DUMMYFUNCTION("""COMPUTED_VALUE"""),"SP1")</f>
        <v>SP1</v>
      </c>
      <c r="AB76" s="9" t="str">
        <f ca="1">IFERROR(__xludf.DUMMYFUNCTION("""COMPUTED_VALUE"""),"TIDAK MENYAMPAIKAN LAPORAN 1")</f>
        <v>TIDAK MENYAMPAIKAN LAPORAN 1</v>
      </c>
      <c r="AC76" s="9"/>
      <c r="AD76" s="9"/>
      <c r="AE76" s="11"/>
      <c r="AF76" s="7" t="str">
        <f ca="1">IFERROR(__xludf.DUMMYFUNCTION("""COMPUTED_VALUE"""),"BITUNG")</f>
        <v>BITUNG</v>
      </c>
      <c r="AG76" s="8"/>
      <c r="AH76" s="7"/>
      <c r="AI76" s="7"/>
      <c r="AJ76" s="7"/>
      <c r="AK76" s="6"/>
      <c r="AL76" s="6"/>
      <c r="AM76" s="6"/>
      <c r="AN76" s="6"/>
      <c r="AO76" s="6"/>
    </row>
    <row r="77" spans="1:41" ht="50.5" x14ac:dyDescent="0.3">
      <c r="A77" s="7">
        <f ca="1">IFERROR(__xludf.DUMMYFUNCTION("""COMPUTED_VALUE"""),1270)</f>
        <v>1270</v>
      </c>
      <c r="B77" s="7" t="str">
        <f ca="1">IFERROR(__xludf.DUMMYFUNCTION("""COMPUTED_VALUE"""),"23.13.00537")</f>
        <v>23.13.00537</v>
      </c>
      <c r="C77" s="7" t="str">
        <f ca="1">IFERROR(__xludf.DUMMYFUNCTION("""COMPUTED_VALUE"""),"CV GAPURA")</f>
        <v>CV GAPURA</v>
      </c>
      <c r="D77" s="7" t="str">
        <f ca="1">IFERROR(__xludf.DUMMYFUNCTION("""COMPUTED_VALUE"""),"0811418276 / vincentpaliiling@gmail.com")</f>
        <v>0811418276 / vincentpaliiling@gmail.com</v>
      </c>
      <c r="E77" s="7" t="str">
        <f ca="1">IFERROR(__xludf.DUMMYFUNCTION("""COMPUTED_VALUE"""),"JL. GUNUNG BROMO NO. 121, KELURAHAN TANJUNG MERDEKA, KECAMATAN TAMALATE, KOTA MAKASSAR, PROVINSI SULAWESI SELATAN")</f>
        <v>JL. GUNUNG BROMO NO. 121, KELURAHAN TANJUNG MERDEKA, KECAMATAN TAMALATE, KOTA MAKASSAR, PROVINSI SULAWESI SELATAN</v>
      </c>
      <c r="F77" s="7" t="str">
        <f ca="1">IFERROR(__xludf.DUMMYFUNCTION("""COMPUTED_VALUE"""),"PERSETUJUAN")</f>
        <v>PERSETUJUAN</v>
      </c>
      <c r="G77" s="7" t="str">
        <f ca="1">IFERROR(__xludf.DUMMYFUNCTION("""COMPUTED_VALUE"""),"BERUSAHA")</f>
        <v>BERUSAHA</v>
      </c>
      <c r="H77" s="7" t="str">
        <f ca="1">IFERROR(__xludf.DUMMYFUNCTION("""COMPUTED_VALUE"""),"SULAWESI SELATAN")</f>
        <v>SULAWESI SELATAN</v>
      </c>
      <c r="I77" s="7" t="str">
        <f ca="1">IFERROR(__xludf.DUMMYFUNCTION("""COMPUTED_VALUE"""),"SELAT MAKASSAR")</f>
        <v>SELAT MAKASSAR</v>
      </c>
      <c r="J77" s="7" t="str">
        <f ca="1">IFERROR(__xludf.DUMMYFUNCTION("""COMPUTED_VALUE"""),"PEMASANGAN INSTALASI PERIKANAN KEGIATAN BUDIDAYA UDANG VANAME")</f>
        <v>PEMASANGAN INSTALASI PERIKANAN KEGIATAN BUDIDAYA UDANG VANAME</v>
      </c>
      <c r="K77" s="7">
        <f ca="1">IFERROR(__xludf.DUMMYFUNCTION("""COMPUTED_VALUE"""),0.49)</f>
        <v>0.49</v>
      </c>
      <c r="L77" s="7" t="str">
        <f ca="1">IFERROR(__xludf.DUMMYFUNCTION("""COMPUTED_VALUE"""),"ha")</f>
        <v>ha</v>
      </c>
      <c r="M77" s="7"/>
      <c r="N77" s="7"/>
      <c r="O77" s="7" t="str">
        <f ca="1">IFERROR(__xludf.DUMMYFUNCTION("""COMPUTED_VALUE"""),"21112310517300015")</f>
        <v>21112310517300015</v>
      </c>
      <c r="P77" s="8">
        <f ca="1">IFERROR(__xludf.DUMMYFUNCTION("""COMPUTED_VALUE"""),45251)</f>
        <v>45251</v>
      </c>
      <c r="Q77" s="8"/>
      <c r="R77" s="7" t="str">
        <f ca="1">IFERROR(__xludf.DUMMYFUNCTION("""COMPUTED_VALUE"""),"Tidak Menyampaikan Laporan")</f>
        <v>Tidak Menyampaikan Laporan</v>
      </c>
      <c r="S77" s="7"/>
      <c r="T77" s="7"/>
      <c r="U77" s="7"/>
      <c r="V77" s="7"/>
      <c r="W77" s="7"/>
      <c r="X77" s="7"/>
      <c r="Y77" s="7"/>
      <c r="Z77" s="7"/>
      <c r="AA77" s="7" t="str">
        <f ca="1">IFERROR(__xludf.DUMMYFUNCTION("""COMPUTED_VALUE"""),"SP1")</f>
        <v>SP1</v>
      </c>
      <c r="AB77" s="9" t="str">
        <f ca="1">IFERROR(__xludf.DUMMYFUNCTION("""COMPUTED_VALUE"""),"TIDAK MENYAMPAIKAN LAPORAN 1")</f>
        <v>TIDAK MENYAMPAIKAN LAPORAN 1</v>
      </c>
      <c r="AC77" s="9"/>
      <c r="AD77" s="9"/>
      <c r="AE77" s="11"/>
      <c r="AF77" s="7" t="str">
        <f ca="1">IFERROR(__xludf.DUMMYFUNCTION("""COMPUTED_VALUE"""),"BITUNG")</f>
        <v>BITUNG</v>
      </c>
      <c r="AG77" s="8"/>
      <c r="AH77" s="7"/>
      <c r="AI77" s="7"/>
      <c r="AJ77" s="7"/>
      <c r="AK77" s="6"/>
      <c r="AL77" s="6"/>
      <c r="AM77" s="6"/>
      <c r="AN77" s="6"/>
      <c r="AO77" s="6"/>
    </row>
    <row r="78" spans="1:41" ht="50.5" x14ac:dyDescent="0.3">
      <c r="A78" s="7">
        <f ca="1">IFERROR(__xludf.DUMMYFUNCTION("""COMPUTED_VALUE"""),1282)</f>
        <v>1282</v>
      </c>
      <c r="B78" s="7" t="str">
        <f ca="1">IFERROR(__xludf.DUMMYFUNCTION("""COMPUTED_VALUE"""),"23.13.00673")</f>
        <v>23.13.00673</v>
      </c>
      <c r="C78" s="7" t="str">
        <f ca="1">IFERROR(__xludf.DUMMYFUNCTION("""COMPUTED_VALUE"""),"PT SONOK LESTARI MAS")</f>
        <v>PT SONOK LESTARI MAS</v>
      </c>
      <c r="D78" s="7" t="str">
        <f ca="1">IFERROR(__xludf.DUMMYFUNCTION("""COMPUTED_VALUE"""),"04013121138 / info.ptsonok88@gmail.com")</f>
        <v>04013121138 / info.ptsonok88@gmail.com</v>
      </c>
      <c r="E78" s="7" t="str">
        <f ca="1">IFERROR(__xludf.DUMMYFUNCTION("""COMPUTED_VALUE"""),"JL. IR SOEKARNO NO. 60, KELURAHAN BITUNG TIMUR, KECAMATAN MAESA, KOTA BITUNG, PROVINSI SULAWESI UTARA")</f>
        <v>JL. IR SOEKARNO NO. 60, KELURAHAN BITUNG TIMUR, KECAMATAN MAESA, KOTA BITUNG, PROVINSI SULAWESI UTARA</v>
      </c>
      <c r="F78" s="7" t="str">
        <f ca="1">IFERROR(__xludf.DUMMYFUNCTION("""COMPUTED_VALUE"""),"PERSETUJUAN")</f>
        <v>PERSETUJUAN</v>
      </c>
      <c r="G78" s="7" t="str">
        <f ca="1">IFERROR(__xludf.DUMMYFUNCTION("""COMPUTED_VALUE"""),"BERUSAHA")</f>
        <v>BERUSAHA</v>
      </c>
      <c r="H78" s="7" t="str">
        <f ca="1">IFERROR(__xludf.DUMMYFUNCTION("""COMPUTED_VALUE"""),"SULAWESI UTARA")</f>
        <v>SULAWESI UTARA</v>
      </c>
      <c r="I78" s="7" t="str">
        <f ca="1">IFERROR(__xludf.DUMMYFUNCTION("""COMPUTED_VALUE"""),"LAUT MALUKU")</f>
        <v>LAUT MALUKU</v>
      </c>
      <c r="J78" s="7" t="str">
        <f ca="1">IFERROR(__xludf.DUMMYFUNCTION("""COMPUTED_VALUE"""),"BUDIDAYA PERIKANAN DAN KABEL LISTRIK BAWAH LAUT")</f>
        <v>BUDIDAYA PERIKANAN DAN KABEL LISTRIK BAWAH LAUT</v>
      </c>
      <c r="K78" s="7">
        <f ca="1">IFERROR(__xludf.DUMMYFUNCTION("""COMPUTED_VALUE"""),1.02)</f>
        <v>1.02</v>
      </c>
      <c r="L78" s="7" t="str">
        <f ca="1">IFERROR(__xludf.DUMMYFUNCTION("""COMPUTED_VALUE"""),"ha")</f>
        <v>ha</v>
      </c>
      <c r="M78" s="7">
        <f ca="1">IFERROR(__xludf.DUMMYFUNCTION("""COMPUTED_VALUE"""),0.43)</f>
        <v>0.43</v>
      </c>
      <c r="N78" s="7" t="str">
        <f ca="1">IFERROR(__xludf.DUMMYFUNCTION("""COMPUTED_VALUE"""),"km")</f>
        <v>km</v>
      </c>
      <c r="O78" s="7" t="str">
        <f ca="1">IFERROR(__xludf.DUMMYFUNCTION("""COMPUTED_VALUE"""),"21112310517100003")</f>
        <v>21112310517100003</v>
      </c>
      <c r="P78" s="8">
        <f ca="1">IFERROR(__xludf.DUMMYFUNCTION("""COMPUTED_VALUE"""),45251)</f>
        <v>45251</v>
      </c>
      <c r="Q78" s="7"/>
      <c r="R78" s="7" t="str">
        <f ca="1">IFERROR(__xludf.DUMMYFUNCTION("""COMPUTED_VALUE"""),"Tidak Menyampaikan Laporan")</f>
        <v>Tidak Menyampaikan Laporan</v>
      </c>
      <c r="S78" s="7"/>
      <c r="T78" s="7"/>
      <c r="U78" s="7"/>
      <c r="V78" s="7"/>
      <c r="W78" s="7"/>
      <c r="X78" s="7"/>
      <c r="Y78" s="7"/>
      <c r="Z78" s="7"/>
      <c r="AA78" s="7" t="str">
        <f ca="1">IFERROR(__xludf.DUMMYFUNCTION("""COMPUTED_VALUE"""),"SP1")</f>
        <v>SP1</v>
      </c>
      <c r="AB78" s="9" t="str">
        <f ca="1">IFERROR(__xludf.DUMMYFUNCTION("""COMPUTED_VALUE"""),"TIDAK MENYAMPAIKAN LAPORAN 1")</f>
        <v>TIDAK MENYAMPAIKAN LAPORAN 1</v>
      </c>
      <c r="AC78" s="9"/>
      <c r="AD78" s="9"/>
      <c r="AE78" s="9"/>
      <c r="AF78" s="7" t="str">
        <f ca="1">IFERROR(__xludf.DUMMYFUNCTION("""COMPUTED_VALUE"""),"BITUNG")</f>
        <v>BITUNG</v>
      </c>
      <c r="AG78" s="7"/>
      <c r="AH78" s="7"/>
      <c r="AI78" s="7"/>
      <c r="AJ78" s="7"/>
      <c r="AK78" s="6"/>
      <c r="AL78" s="6"/>
      <c r="AM78" s="6"/>
      <c r="AN78" s="6"/>
      <c r="AO78" s="6"/>
    </row>
    <row r="79" spans="1:41" ht="25.5" x14ac:dyDescent="0.3">
      <c r="A79" s="7">
        <f ca="1">IFERROR(__xludf.DUMMYFUNCTION("""COMPUTED_VALUE"""),1286)</f>
        <v>1286</v>
      </c>
      <c r="B79" s="7" t="str">
        <f ca="1">IFERROR(__xludf.DUMMYFUNCTION("""COMPUTED_VALUE"""),"23.13.00681")</f>
        <v>23.13.00681</v>
      </c>
      <c r="C79" s="7" t="str">
        <f ca="1">IFERROR(__xludf.DUMMYFUNCTION("""COMPUTED_VALUE"""),"PT ARSA MEGA PRATAMA")</f>
        <v>PT ARSA MEGA PRATAMA</v>
      </c>
      <c r="D79" s="7" t="str">
        <f ca="1">IFERROR(__xludf.DUMMYFUNCTION("""COMPUTED_VALUE"""),"082193697808 / arsamegapratama@gmail.com")</f>
        <v>082193697808 / arsamegapratama@gmail.com</v>
      </c>
      <c r="E79" s="7" t="str">
        <f ca="1">IFERROR(__xludf.DUMMYFUNCTION("""COMPUTED_VALUE"""),"JL. R. SUPRAPTO, KELURAHAN TOBUUHA, KECAMATAN PUUWATU, KOTA KENDARI, PROVINSI SULAWESI TENGGARA")</f>
        <v>JL. R. SUPRAPTO, KELURAHAN TOBUUHA, KECAMATAN PUUWATU, KOTA KENDARI, PROVINSI SULAWESI TENGGARA</v>
      </c>
      <c r="F79" s="7" t="str">
        <f ca="1">IFERROR(__xludf.DUMMYFUNCTION("""COMPUTED_VALUE"""),"PERSETUJUAN")</f>
        <v>PERSETUJUAN</v>
      </c>
      <c r="G79" s="7" t="str">
        <f ca="1">IFERROR(__xludf.DUMMYFUNCTION("""COMPUTED_VALUE"""),"BERUSAHA")</f>
        <v>BERUSAHA</v>
      </c>
      <c r="H79" s="7" t="str">
        <f ca="1">IFERROR(__xludf.DUMMYFUNCTION("""COMPUTED_VALUE"""),"SULAWESI TENGGARA")</f>
        <v>SULAWESI TENGGARA</v>
      </c>
      <c r="I79" s="7" t="str">
        <f ca="1">IFERROR(__xludf.DUMMYFUNCTION("""COMPUTED_VALUE"""),"LAUT BANDA")</f>
        <v>LAUT BANDA</v>
      </c>
      <c r="J79" s="7" t="str">
        <f ca="1">IFERROR(__xludf.DUMMYFUNCTION("""COMPUTED_VALUE"""),"TERMINAL KHUSUS")</f>
        <v>TERMINAL KHUSUS</v>
      </c>
      <c r="K79" s="7">
        <f ca="1">IFERROR(__xludf.DUMMYFUNCTION("""COMPUTED_VALUE"""),22.55)</f>
        <v>22.55</v>
      </c>
      <c r="L79" s="7" t="str">
        <f ca="1">IFERROR(__xludf.DUMMYFUNCTION("""COMPUTED_VALUE"""),"ha")</f>
        <v>ha</v>
      </c>
      <c r="M79" s="7"/>
      <c r="N79" s="7"/>
      <c r="O79" s="7" t="str">
        <f ca="1">IFERROR(__xludf.DUMMYFUNCTION("""COMPUTED_VALUE"""),"21112310517400002")</f>
        <v>21112310517400002</v>
      </c>
      <c r="P79" s="8">
        <f ca="1">IFERROR(__xludf.DUMMYFUNCTION("""COMPUTED_VALUE"""),45251)</f>
        <v>45251</v>
      </c>
      <c r="Q79" s="8">
        <f ca="1">IFERROR(__xludf.DUMMYFUNCTION("""COMPUTED_VALUE"""),45777)</f>
        <v>45777</v>
      </c>
      <c r="R79" s="7" t="str">
        <f ca="1">IFERROR(__xludf.DUMMYFUNCTION("""COMPUTED_VALUE"""),"Terlambat")</f>
        <v>Terlambat</v>
      </c>
      <c r="S79" s="7"/>
      <c r="T79" s="7"/>
      <c r="U79" s="7"/>
      <c r="V79" s="7"/>
      <c r="W79" s="7"/>
      <c r="X79" s="7"/>
      <c r="Y79" s="7"/>
      <c r="Z79" s="7"/>
      <c r="AA79" s="7" t="str">
        <f ca="1">IFERROR(__xludf.DUMMYFUNCTION("""COMPUTED_VALUE"""),"SP1")</f>
        <v>SP1</v>
      </c>
      <c r="AB79" s="9" t="str">
        <f ca="1">IFERROR(__xludf.DUMMYFUNCTION("""COMPUTED_VALUE"""),"LAPORAN 1 TERLAMBAT")</f>
        <v>LAPORAN 1 TERLAMBAT</v>
      </c>
      <c r="AC79" s="9"/>
      <c r="AD79" s="9"/>
      <c r="AE79" s="11"/>
      <c r="AF79" s="7" t="str">
        <f ca="1">IFERROR(__xludf.DUMMYFUNCTION("""COMPUTED_VALUE"""),"BITUNG")</f>
        <v>BITUNG</v>
      </c>
      <c r="AG79" s="8"/>
      <c r="AH79" s="7"/>
      <c r="AI79" s="7"/>
      <c r="AJ79" s="7"/>
      <c r="AK79" s="6"/>
      <c r="AL79" s="6"/>
      <c r="AM79" s="6"/>
      <c r="AN79" s="6"/>
      <c r="AO79" s="6"/>
    </row>
    <row r="80" spans="1:41" ht="50.5" x14ac:dyDescent="0.3">
      <c r="A80" s="7">
        <f ca="1">IFERROR(__xludf.DUMMYFUNCTION("""COMPUTED_VALUE"""),1290)</f>
        <v>1290</v>
      </c>
      <c r="B80" s="7" t="str">
        <f ca="1">IFERROR(__xludf.DUMMYFUNCTION("""COMPUTED_VALUE"""),"23.13.00659")</f>
        <v>23.13.00659</v>
      </c>
      <c r="C80" s="7" t="str">
        <f ca="1">IFERROR(__xludf.DUMMYFUNCTION("""COMPUTED_VALUE"""),"PT PERTAMINA PATRA NIAGA")</f>
        <v>PT PERTAMINA PATRA NIAGA</v>
      </c>
      <c r="D80" s="7" t="str">
        <f ca="1">IFERROR(__xludf.DUMMYFUNCTION("""COMPUTED_VALUE"""),"0215209009 / perizinan.ppn@pertamina.com")</f>
        <v>0215209009 / perizinan.ppn@pertamina.com</v>
      </c>
      <c r="E80" s="7" t="str">
        <f ca="1">IFERROR(__xludf.DUMMYFUNCTION("""COMPUTED_VALUE"""),"GEDUNG WISMA TUGU II LT. 2, JL. HR. RASUNA SAID KAV. C7-9, KELURAHAN KARET KUNINGAN, KECAMATAN SETIABUDI, KOTA JAKARTA SELATAN, PROVINSI DKI JAKARTA")</f>
        <v>GEDUNG WISMA TUGU II LT. 2, JL. HR. RASUNA SAID KAV. C7-9, KELURAHAN KARET KUNINGAN, KECAMATAN SETIABUDI, KOTA JAKARTA SELATAN, PROVINSI DKI JAKARTA</v>
      </c>
      <c r="F80" s="7" t="str">
        <f ca="1">IFERROR(__xludf.DUMMYFUNCTION("""COMPUTED_VALUE"""),"PERSETUJUAN")</f>
        <v>PERSETUJUAN</v>
      </c>
      <c r="G80" s="7" t="str">
        <f ca="1">IFERROR(__xludf.DUMMYFUNCTION("""COMPUTED_VALUE"""),"BERUSAHA")</f>
        <v>BERUSAHA</v>
      </c>
      <c r="H80" s="7" t="str">
        <f ca="1">IFERROR(__xludf.DUMMYFUNCTION("""COMPUTED_VALUE"""),"SULAWESI TENGAH")</f>
        <v>SULAWESI TENGAH</v>
      </c>
      <c r="I80" s="7" t="str">
        <f ca="1">IFERROR(__xludf.DUMMYFUNCTION("""COMPUTED_VALUE"""),"LAUT BANDA")</f>
        <v>LAUT BANDA</v>
      </c>
      <c r="J80" s="7" t="str">
        <f ca="1">IFERROR(__xludf.DUMMYFUNCTION("""COMPUTED_VALUE"""),"DERMAGA FUEL TERMINAL KOLONODALE")</f>
        <v>DERMAGA FUEL TERMINAL KOLONODALE</v>
      </c>
      <c r="K80" s="7">
        <f ca="1">IFERROR(__xludf.DUMMYFUNCTION("""COMPUTED_VALUE"""),10.78)</f>
        <v>10.78</v>
      </c>
      <c r="L80" s="7" t="str">
        <f ca="1">IFERROR(__xludf.DUMMYFUNCTION("""COMPUTED_VALUE"""),"ha")</f>
        <v>ha</v>
      </c>
      <c r="M80" s="7"/>
      <c r="N80" s="7"/>
      <c r="O80" s="7" t="str">
        <f ca="1">IFERROR(__xludf.DUMMYFUNCTION("""COMPUTED_VALUE"""),"23112310517200001")</f>
        <v>23112310517200001</v>
      </c>
      <c r="P80" s="8">
        <f ca="1">IFERROR(__xludf.DUMMYFUNCTION("""COMPUTED_VALUE"""),45253)</f>
        <v>45253</v>
      </c>
      <c r="Q80" s="7"/>
      <c r="R80" s="7" t="str">
        <f ca="1">IFERROR(__xludf.DUMMYFUNCTION("""COMPUTED_VALUE"""),"Tidak Menyampaikan Laporan")</f>
        <v>Tidak Menyampaikan Laporan</v>
      </c>
      <c r="S80" s="7"/>
      <c r="T80" s="7"/>
      <c r="U80" s="7"/>
      <c r="V80" s="7"/>
      <c r="W80" s="7"/>
      <c r="X80" s="7"/>
      <c r="Y80" s="7"/>
      <c r="Z80" s="7"/>
      <c r="AA80" s="7" t="str">
        <f ca="1">IFERROR(__xludf.DUMMYFUNCTION("""COMPUTED_VALUE"""),"SP1")</f>
        <v>SP1</v>
      </c>
      <c r="AB80" s="9" t="str">
        <f ca="1">IFERROR(__xludf.DUMMYFUNCTION("""COMPUTED_VALUE"""),"TIDAK MENYAMPAIKAN LAPORAN 1")</f>
        <v>TIDAK MENYAMPAIKAN LAPORAN 1</v>
      </c>
      <c r="AC80" s="9"/>
      <c r="AD80" s="9"/>
      <c r="AE80" s="9"/>
      <c r="AF80" s="7" t="str">
        <f ca="1">IFERROR(__xludf.DUMMYFUNCTION("""COMPUTED_VALUE"""),"BITUNG")</f>
        <v>BITUNG</v>
      </c>
      <c r="AG80" s="7"/>
      <c r="AH80" s="7"/>
      <c r="AI80" s="7"/>
      <c r="AJ80" s="7"/>
      <c r="AK80" s="6"/>
      <c r="AL80" s="6"/>
      <c r="AM80" s="6"/>
      <c r="AN80" s="6"/>
      <c r="AO80" s="6"/>
    </row>
    <row r="81" spans="1:41" ht="50.5" x14ac:dyDescent="0.3">
      <c r="A81" s="7">
        <f ca="1">IFERROR(__xludf.DUMMYFUNCTION("""COMPUTED_VALUE"""),1296)</f>
        <v>1296</v>
      </c>
      <c r="B81" s="7" t="str">
        <f ca="1">IFERROR(__xludf.DUMMYFUNCTION("""COMPUTED_VALUE"""),"23.13.00702")</f>
        <v>23.13.00702</v>
      </c>
      <c r="C81" s="7" t="str">
        <f ca="1">IFERROR(__xludf.DUMMYFUNCTION("""COMPUTED_VALUE"""),"PT KULAKA JAYA PERKASA")</f>
        <v>PT KULAKA JAYA PERKASA</v>
      </c>
      <c r="D81" s="7" t="str">
        <f ca="1">IFERROR(__xludf.DUMMYFUNCTION("""COMPUTED_VALUE"""),"085332555575 / pt.kulakajayaperkasa@gmail.com")</f>
        <v>085332555575 / pt.kulakajayaperkasa@gmail.com</v>
      </c>
      <c r="E81" s="7" t="str">
        <f ca="1">IFERROR(__xludf.DUMMYFUNCTION("""COMPUTED_VALUE"""),"JL. ANDI DEPU PASANGKAYU, DESA PASANGKAYU, KECAMATAN PASANGKAYU, KABUPATEN PASANGKAYU, PROVINSI SULAWESI BARAT")</f>
        <v>JL. ANDI DEPU PASANGKAYU, DESA PASANGKAYU, KECAMATAN PASANGKAYU, KABUPATEN PASANGKAYU, PROVINSI SULAWESI BARAT</v>
      </c>
      <c r="F81" s="7" t="str">
        <f ca="1">IFERROR(__xludf.DUMMYFUNCTION("""COMPUTED_VALUE"""),"PERSETUJUAN")</f>
        <v>PERSETUJUAN</v>
      </c>
      <c r="G81" s="7" t="str">
        <f ca="1">IFERROR(__xludf.DUMMYFUNCTION("""COMPUTED_VALUE"""),"BERUSAHA")</f>
        <v>BERUSAHA</v>
      </c>
      <c r="H81" s="7" t="str">
        <f ca="1">IFERROR(__xludf.DUMMYFUNCTION("""COMPUTED_VALUE"""),"SULAWESI BARAT")</f>
        <v>SULAWESI BARAT</v>
      </c>
      <c r="I81" s="7" t="str">
        <f ca="1">IFERROR(__xludf.DUMMYFUNCTION("""COMPUTED_VALUE"""),"SELAT MAKASSAR")</f>
        <v>SELAT MAKASSAR</v>
      </c>
      <c r="J81" s="7" t="str">
        <f ca="1">IFERROR(__xludf.DUMMYFUNCTION("""COMPUTED_VALUE"""),"PEMBANGUNAN JETTY TUKS UNTUK KEPERLUAN STOCKPILE")</f>
        <v>PEMBANGUNAN JETTY TUKS UNTUK KEPERLUAN STOCKPILE</v>
      </c>
      <c r="K81" s="7">
        <f ca="1">IFERROR(__xludf.DUMMYFUNCTION("""COMPUTED_VALUE"""),8.05)</f>
        <v>8.0500000000000007</v>
      </c>
      <c r="L81" s="7" t="str">
        <f ca="1">IFERROR(__xludf.DUMMYFUNCTION("""COMPUTED_VALUE"""),"ha")</f>
        <v>ha</v>
      </c>
      <c r="M81" s="7"/>
      <c r="N81" s="7"/>
      <c r="O81" s="7" t="str">
        <f ca="1">IFERROR(__xludf.DUMMYFUNCTION("""COMPUTED_VALUE"""),"28112310517600002")</f>
        <v>28112310517600002</v>
      </c>
      <c r="P81" s="8">
        <f ca="1">IFERROR(__xludf.DUMMYFUNCTION("""COMPUTED_VALUE"""),45258)</f>
        <v>45258</v>
      </c>
      <c r="Q81" s="8"/>
      <c r="R81" s="7" t="str">
        <f ca="1">IFERROR(__xludf.DUMMYFUNCTION("""COMPUTED_VALUE"""),"Tidak Menyampaikan Laporan")</f>
        <v>Tidak Menyampaikan Laporan</v>
      </c>
      <c r="S81" s="7"/>
      <c r="T81" s="7"/>
      <c r="U81" s="7"/>
      <c r="V81" s="7"/>
      <c r="W81" s="7"/>
      <c r="X81" s="7"/>
      <c r="Y81" s="7"/>
      <c r="Z81" s="7"/>
      <c r="AA81" s="7" t="str">
        <f ca="1">IFERROR(__xludf.DUMMYFUNCTION("""COMPUTED_VALUE"""),"SP1")</f>
        <v>SP1</v>
      </c>
      <c r="AB81" s="9" t="str">
        <f ca="1">IFERROR(__xludf.DUMMYFUNCTION("""COMPUTED_VALUE"""),"TIDAK MENYAMPAIKAN LAPORAN 1")</f>
        <v>TIDAK MENYAMPAIKAN LAPORAN 1</v>
      </c>
      <c r="AC81" s="9"/>
      <c r="AD81" s="9"/>
      <c r="AE81" s="11"/>
      <c r="AF81" s="7" t="str">
        <f ca="1">IFERROR(__xludf.DUMMYFUNCTION("""COMPUTED_VALUE"""),"BITUNG")</f>
        <v>BITUNG</v>
      </c>
      <c r="AG81" s="8"/>
      <c r="AH81" s="7"/>
      <c r="AI81" s="7"/>
      <c r="AJ81" s="7"/>
      <c r="AK81" s="6"/>
      <c r="AL81" s="6"/>
      <c r="AM81" s="6"/>
      <c r="AN81" s="6"/>
      <c r="AO81" s="6"/>
    </row>
    <row r="82" spans="1:41" ht="50.5" x14ac:dyDescent="0.3">
      <c r="A82" s="7">
        <f ca="1">IFERROR(__xludf.DUMMYFUNCTION("""COMPUTED_VALUE"""),1301)</f>
        <v>1301</v>
      </c>
      <c r="B82" s="7" t="str">
        <f ca="1">IFERROR(__xludf.DUMMYFUNCTION("""COMPUTED_VALUE"""),"23.13.00699")</f>
        <v>23.13.00699</v>
      </c>
      <c r="C82" s="7" t="str">
        <f ca="1">IFERROR(__xludf.DUMMYFUNCTION("""COMPUTED_VALUE"""),"CV PUNAGA AGUNG")</f>
        <v>CV PUNAGA AGUNG</v>
      </c>
      <c r="D82" s="7" t="str">
        <f ca="1">IFERROR(__xludf.DUMMYFUNCTION("""COMPUTED_VALUE"""),"4113612525 / cv.punagaagung768@gmail.com")</f>
        <v>4113612525 / cv.punagaagung768@gmail.com</v>
      </c>
      <c r="E82" s="7" t="str">
        <f ca="1">IFERROR(__xludf.DUMMYFUNCTION("""COMPUTED_VALUE"""),"JL. BAUMASEPE NO. 19, KELURAHAN BARU, KECAMATAN UJUNG PANDANG, KOTA MAKASSAR, PROVINSI SULAWESI SELATAN")</f>
        <v>JL. BAUMASEPE NO. 19, KELURAHAN BARU, KECAMATAN UJUNG PANDANG, KOTA MAKASSAR, PROVINSI SULAWESI SELATAN</v>
      </c>
      <c r="F82" s="7" t="str">
        <f ca="1">IFERROR(__xludf.DUMMYFUNCTION("""COMPUTED_VALUE"""),"PERSETUJUAN")</f>
        <v>PERSETUJUAN</v>
      </c>
      <c r="G82" s="7" t="str">
        <f ca="1">IFERROR(__xludf.DUMMYFUNCTION("""COMPUTED_VALUE"""),"BERUSAHA")</f>
        <v>BERUSAHA</v>
      </c>
      <c r="H82" s="7" t="str">
        <f ca="1">IFERROR(__xludf.DUMMYFUNCTION("""COMPUTED_VALUE"""),"SULAWESI SELATAN")</f>
        <v>SULAWESI SELATAN</v>
      </c>
      <c r="I82" s="7" t="str">
        <f ca="1">IFERROR(__xludf.DUMMYFUNCTION("""COMPUTED_VALUE"""),"LAUT JAWA")</f>
        <v>LAUT JAWA</v>
      </c>
      <c r="J82" s="7" t="str">
        <f ca="1">IFERROR(__xludf.DUMMYFUNCTION("""COMPUTED_VALUE"""),"PEMASANGAN INSTALASI PERIKANAN KEGIATAN BUDIDAYA UDANG VANAME")</f>
        <v>PEMASANGAN INSTALASI PERIKANAN KEGIATAN BUDIDAYA UDANG VANAME</v>
      </c>
      <c r="K82" s="7">
        <f ca="1">IFERROR(__xludf.DUMMYFUNCTION("""COMPUTED_VALUE"""),1.2)</f>
        <v>1.2</v>
      </c>
      <c r="L82" s="7" t="str">
        <f ca="1">IFERROR(__xludf.DUMMYFUNCTION("""COMPUTED_VALUE"""),"ha")</f>
        <v>ha</v>
      </c>
      <c r="M82" s="7"/>
      <c r="N82" s="7"/>
      <c r="O82" s="7" t="str">
        <f ca="1">IFERROR(__xludf.DUMMYFUNCTION("""COMPUTED_VALUE"""),"01122310517300016")</f>
        <v>01122310517300016</v>
      </c>
      <c r="P82" s="8">
        <f ca="1">IFERROR(__xludf.DUMMYFUNCTION("""COMPUTED_VALUE"""),45261)</f>
        <v>45261</v>
      </c>
      <c r="Q82" s="8"/>
      <c r="R82" s="7" t="str">
        <f ca="1">IFERROR(__xludf.DUMMYFUNCTION("""COMPUTED_VALUE"""),"Tidak Menyampaikan Laporan")</f>
        <v>Tidak Menyampaikan Laporan</v>
      </c>
      <c r="S82" s="7"/>
      <c r="T82" s="7"/>
      <c r="U82" s="7"/>
      <c r="V82" s="7"/>
      <c r="W82" s="7"/>
      <c r="X82" s="7"/>
      <c r="Y82" s="7"/>
      <c r="Z82" s="7"/>
      <c r="AA82" s="7" t="str">
        <f ca="1">IFERROR(__xludf.DUMMYFUNCTION("""COMPUTED_VALUE"""),"SP1")</f>
        <v>SP1</v>
      </c>
      <c r="AB82" s="9" t="str">
        <f ca="1">IFERROR(__xludf.DUMMYFUNCTION("""COMPUTED_VALUE"""),"TIDAK MENYAMPAIKAN LAPORAN 1")</f>
        <v>TIDAK MENYAMPAIKAN LAPORAN 1</v>
      </c>
      <c r="AC82" s="9"/>
      <c r="AD82" s="9"/>
      <c r="AE82" s="11"/>
      <c r="AF82" s="7" t="str">
        <f ca="1">IFERROR(__xludf.DUMMYFUNCTION("""COMPUTED_VALUE"""),"BITUNG")</f>
        <v>BITUNG</v>
      </c>
      <c r="AG82" s="8"/>
      <c r="AH82" s="7"/>
      <c r="AI82" s="7"/>
      <c r="AJ82" s="7"/>
      <c r="AK82" s="6"/>
      <c r="AL82" s="6"/>
      <c r="AM82" s="6"/>
      <c r="AN82" s="6"/>
      <c r="AO82" s="6"/>
    </row>
    <row r="83" spans="1:41" ht="50.5" x14ac:dyDescent="0.3">
      <c r="A83" s="7">
        <f ca="1">IFERROR(__xludf.DUMMYFUNCTION("""COMPUTED_VALUE"""),1302)</f>
        <v>1302</v>
      </c>
      <c r="B83" s="7" t="str">
        <f ca="1">IFERROR(__xludf.DUMMYFUNCTION("""COMPUTED_VALUE"""),"23.13.00700")</f>
        <v>23.13.00700</v>
      </c>
      <c r="C83" s="7" t="str">
        <f ca="1">IFERROR(__xludf.DUMMYFUNCTION("""COMPUTED_VALUE"""),"CV PUNAGA AGUNG")</f>
        <v>CV PUNAGA AGUNG</v>
      </c>
      <c r="D83" s="7" t="str">
        <f ca="1">IFERROR(__xludf.DUMMYFUNCTION("""COMPUTED_VALUE"""),"4113612525 / cv.punagaagung768@gmail.com")</f>
        <v>4113612525 / cv.punagaagung768@gmail.com</v>
      </c>
      <c r="E83" s="7" t="str">
        <f ca="1">IFERROR(__xludf.DUMMYFUNCTION("""COMPUTED_VALUE"""),"JL. BAUMASEPE NO. 19, KELURAHAN BARU, KECAMATAN UJUNG PANDANG, KOTA MAKASSAR, PROVINSI SULAWESI SELATAN")</f>
        <v>JL. BAUMASEPE NO. 19, KELURAHAN BARU, KECAMATAN UJUNG PANDANG, KOTA MAKASSAR, PROVINSI SULAWESI SELATAN</v>
      </c>
      <c r="F83" s="7" t="str">
        <f ca="1">IFERROR(__xludf.DUMMYFUNCTION("""COMPUTED_VALUE"""),"PERSETUJUAN")</f>
        <v>PERSETUJUAN</v>
      </c>
      <c r="G83" s="7" t="str">
        <f ca="1">IFERROR(__xludf.DUMMYFUNCTION("""COMPUTED_VALUE"""),"BERUSAHA")</f>
        <v>BERUSAHA</v>
      </c>
      <c r="H83" s="7" t="str">
        <f ca="1">IFERROR(__xludf.DUMMYFUNCTION("""COMPUTED_VALUE"""),"SULAWESI SELATAN")</f>
        <v>SULAWESI SELATAN</v>
      </c>
      <c r="I83" s="7" t="str">
        <f ca="1">IFERROR(__xludf.DUMMYFUNCTION("""COMPUTED_VALUE"""),"SELAT MAKASSAR")</f>
        <v>SELAT MAKASSAR</v>
      </c>
      <c r="J83" s="7" t="str">
        <f ca="1">IFERROR(__xludf.DUMMYFUNCTION("""COMPUTED_VALUE"""),"PEMASANGAN INSTALASI PERIKANAN KEGIATAN BUDIDAYA UDANG VANAME")</f>
        <v>PEMASANGAN INSTALASI PERIKANAN KEGIATAN BUDIDAYA UDANG VANAME</v>
      </c>
      <c r="K83" s="7">
        <f ca="1">IFERROR(__xludf.DUMMYFUNCTION("""COMPUTED_VALUE"""),0.6)</f>
        <v>0.6</v>
      </c>
      <c r="L83" s="7" t="str">
        <f ca="1">IFERROR(__xludf.DUMMYFUNCTION("""COMPUTED_VALUE"""),"ha")</f>
        <v>ha</v>
      </c>
      <c r="M83" s="7"/>
      <c r="N83" s="7"/>
      <c r="O83" s="7" t="str">
        <f ca="1">IFERROR(__xludf.DUMMYFUNCTION("""COMPUTED_VALUE"""),"01122310517300017")</f>
        <v>01122310517300017</v>
      </c>
      <c r="P83" s="8">
        <f ca="1">IFERROR(__xludf.DUMMYFUNCTION("""COMPUTED_VALUE"""),45261)</f>
        <v>45261</v>
      </c>
      <c r="Q83" s="8"/>
      <c r="R83" s="7" t="str">
        <f ca="1">IFERROR(__xludf.DUMMYFUNCTION("""COMPUTED_VALUE"""),"Tidak Menyampaikan Laporan")</f>
        <v>Tidak Menyampaikan Laporan</v>
      </c>
      <c r="S83" s="7"/>
      <c r="T83" s="7"/>
      <c r="U83" s="7"/>
      <c r="V83" s="7"/>
      <c r="W83" s="7"/>
      <c r="X83" s="7"/>
      <c r="Y83" s="7"/>
      <c r="Z83" s="7"/>
      <c r="AA83" s="7" t="str">
        <f ca="1">IFERROR(__xludf.DUMMYFUNCTION("""COMPUTED_VALUE"""),"SP1")</f>
        <v>SP1</v>
      </c>
      <c r="AB83" s="9" t="str">
        <f ca="1">IFERROR(__xludf.DUMMYFUNCTION("""COMPUTED_VALUE"""),"TIDAK MENYAMPAIKAN LAPORAN 1")</f>
        <v>TIDAK MENYAMPAIKAN LAPORAN 1</v>
      </c>
      <c r="AC83" s="9"/>
      <c r="AD83" s="9"/>
      <c r="AE83" s="11"/>
      <c r="AF83" s="7" t="str">
        <f ca="1">IFERROR(__xludf.DUMMYFUNCTION("""COMPUTED_VALUE"""),"BITUNG")</f>
        <v>BITUNG</v>
      </c>
      <c r="AG83" s="8"/>
      <c r="AH83" s="7"/>
      <c r="AI83" s="7"/>
      <c r="AJ83" s="7"/>
      <c r="AK83" s="6"/>
      <c r="AL83" s="6"/>
      <c r="AM83" s="6"/>
      <c r="AN83" s="6"/>
      <c r="AO83" s="6"/>
    </row>
    <row r="84" spans="1:41" ht="50.5" x14ac:dyDescent="0.3">
      <c r="A84" s="7">
        <f ca="1">IFERROR(__xludf.DUMMYFUNCTION("""COMPUTED_VALUE"""),1315)</f>
        <v>1315</v>
      </c>
      <c r="B84" s="7" t="str">
        <f ca="1">IFERROR(__xludf.DUMMYFUNCTION("""COMPUTED_VALUE"""),"23.13.00721")</f>
        <v>23.13.00721</v>
      </c>
      <c r="C84" s="7" t="str">
        <f ca="1">IFERROR(__xludf.DUMMYFUNCTION("""COMPUTED_VALUE"""),"CV LAUTAN BERKAT UTAMA")</f>
        <v>CV LAUTAN BERKAT UTAMA</v>
      </c>
      <c r="D84" s="7" t="str">
        <f ca="1">IFERROR(__xludf.DUMMYFUNCTION("""COMPUTED_VALUE"""),"0811924945 / lautanberkatutama@gmail.com")</f>
        <v>0811924945 / lautanberkatutama@gmail.com</v>
      </c>
      <c r="E84" s="7" t="str">
        <f ca="1">IFERROR(__xludf.DUMMYFUNCTION("""COMPUTED_VALUE"""),"JL. RAYA PERANCIS NO. 2 PERGUDANGAN PANTAI INDAH DADAP BLOK GF NO. 10, DESA DADAP, KECAMATAN KOSAMBI, KABUPATEN TANGERANG, PROVINSI BANTEN")</f>
        <v>JL. RAYA PERANCIS NO. 2 PERGUDANGAN PANTAI INDAH DADAP BLOK GF NO. 10, DESA DADAP, KECAMATAN KOSAMBI, KABUPATEN TANGERANG, PROVINSI BANTEN</v>
      </c>
      <c r="F84" s="7" t="str">
        <f ca="1">IFERROR(__xludf.DUMMYFUNCTION("""COMPUTED_VALUE"""),"PERSETUJUAN")</f>
        <v>PERSETUJUAN</v>
      </c>
      <c r="G84" s="7" t="str">
        <f ca="1">IFERROR(__xludf.DUMMYFUNCTION("""COMPUTED_VALUE"""),"BERUSAHA")</f>
        <v>BERUSAHA</v>
      </c>
      <c r="H84" s="7" t="str">
        <f ca="1">IFERROR(__xludf.DUMMYFUNCTION("""COMPUTED_VALUE"""),"SULAWESI TENGAH")</f>
        <v>SULAWESI TENGAH</v>
      </c>
      <c r="I84" s="7" t="str">
        <f ca="1">IFERROR(__xludf.DUMMYFUNCTION("""COMPUTED_VALUE"""),"TELUK TOMINI")</f>
        <v>TELUK TOMINI</v>
      </c>
      <c r="J84" s="7" t="str">
        <f ca="1">IFERROR(__xludf.DUMMYFUNCTION("""COMPUTED_VALUE"""),"BUDIDAYA KERAMBA JARING APUNG")</f>
        <v>BUDIDAYA KERAMBA JARING APUNG</v>
      </c>
      <c r="K84" s="7">
        <f ca="1">IFERROR(__xludf.DUMMYFUNCTION("""COMPUTED_VALUE"""),3.27)</f>
        <v>3.27</v>
      </c>
      <c r="L84" s="7" t="str">
        <f ca="1">IFERROR(__xludf.DUMMYFUNCTION("""COMPUTED_VALUE"""),"ha")</f>
        <v>ha</v>
      </c>
      <c r="M84" s="7"/>
      <c r="N84" s="7"/>
      <c r="O84" s="7" t="str">
        <f ca="1">IFERROR(__xludf.DUMMYFUNCTION("""COMPUTED_VALUE"""),"04122310517200003")</f>
        <v>04122310517200003</v>
      </c>
      <c r="P84" s="8">
        <f ca="1">IFERROR(__xludf.DUMMYFUNCTION("""COMPUTED_VALUE"""),45264)</f>
        <v>45264</v>
      </c>
      <c r="Q84" s="7"/>
      <c r="R84" s="7" t="str">
        <f ca="1">IFERROR(__xludf.DUMMYFUNCTION("""COMPUTED_VALUE"""),"Tidak Menyampaikan Laporan")</f>
        <v>Tidak Menyampaikan Laporan</v>
      </c>
      <c r="S84" s="7"/>
      <c r="T84" s="7"/>
      <c r="U84" s="7"/>
      <c r="V84" s="7"/>
      <c r="W84" s="7"/>
      <c r="X84" s="7"/>
      <c r="Y84" s="7"/>
      <c r="Z84" s="7"/>
      <c r="AA84" s="7" t="str">
        <f ca="1">IFERROR(__xludf.DUMMYFUNCTION("""COMPUTED_VALUE"""),"SP1")</f>
        <v>SP1</v>
      </c>
      <c r="AB84" s="9" t="str">
        <f ca="1">IFERROR(__xludf.DUMMYFUNCTION("""COMPUTED_VALUE"""),"TIDAK MENYAMPAIKAN LAPORAN 1")</f>
        <v>TIDAK MENYAMPAIKAN LAPORAN 1</v>
      </c>
      <c r="AC84" s="9"/>
      <c r="AD84" s="9"/>
      <c r="AE84" s="9"/>
      <c r="AF84" s="7" t="str">
        <f ca="1">IFERROR(__xludf.DUMMYFUNCTION("""COMPUTED_VALUE"""),"BITUNG")</f>
        <v>BITUNG</v>
      </c>
      <c r="AG84" s="7"/>
      <c r="AH84" s="7"/>
      <c r="AI84" s="7"/>
      <c r="AJ84" s="7"/>
      <c r="AK84" s="6"/>
      <c r="AL84" s="6"/>
      <c r="AM84" s="6"/>
      <c r="AN84" s="6"/>
      <c r="AO84" s="6"/>
    </row>
    <row r="85" spans="1:41" ht="50.5" x14ac:dyDescent="0.3">
      <c r="A85" s="7">
        <f ca="1">IFERROR(__xludf.DUMMYFUNCTION("""COMPUTED_VALUE"""),1317)</f>
        <v>1317</v>
      </c>
      <c r="B85" s="7" t="str">
        <f ca="1">IFERROR(__xludf.DUMMYFUNCTION("""COMPUTED_VALUE"""),"23.13.00723")</f>
        <v>23.13.00723</v>
      </c>
      <c r="C85" s="7" t="str">
        <f ca="1">IFERROR(__xludf.DUMMYFUNCTION("""COMPUTED_VALUE"""),"CITY EXTRA")</f>
        <v>CITY EXTRA</v>
      </c>
      <c r="D85" s="7" t="str">
        <f ca="1">IFERROR(__xludf.DUMMYFUNCTION("""COMPUTED_VALUE"""),"085964263853")</f>
        <v>085964263853</v>
      </c>
      <c r="E85" s="7" t="str">
        <f ca="1">IFERROR(__xludf.DUMMYFUNCTION("""COMPUTED_VALUE"""),"JL. RAYA MANADO-TANAH WANGKO JAGA I, DESA KALASEY SATU, KECAMATAN MANDOLANG, KABUPATEN MINAHASA, PROVINSI SULAWESI UTARA")</f>
        <v>JL. RAYA MANADO-TANAH WANGKO JAGA I, DESA KALASEY SATU, KECAMATAN MANDOLANG, KABUPATEN MINAHASA, PROVINSI SULAWESI UTARA</v>
      </c>
      <c r="F85" s="7" t="str">
        <f ca="1">IFERROR(__xludf.DUMMYFUNCTION("""COMPUTED_VALUE"""),"PERSETUJUAN")</f>
        <v>PERSETUJUAN</v>
      </c>
      <c r="G85" s="7" t="str">
        <f ca="1">IFERROR(__xludf.DUMMYFUNCTION("""COMPUTED_VALUE"""),"BERUSAHA")</f>
        <v>BERUSAHA</v>
      </c>
      <c r="H85" s="7" t="str">
        <f ca="1">IFERROR(__xludf.DUMMYFUNCTION("""COMPUTED_VALUE"""),"SULAWESI UTARA")</f>
        <v>SULAWESI UTARA</v>
      </c>
      <c r="I85" s="7" t="str">
        <f ca="1">IFERROR(__xludf.DUMMYFUNCTION("""COMPUTED_VALUE"""),"LAUT SULAWESI")</f>
        <v>LAUT SULAWESI</v>
      </c>
      <c r="J85" s="7" t="str">
        <f ca="1">IFERROR(__xludf.DUMMYFUNCTION("""COMPUTED_VALUE"""),"DERMAGA DAN RESTORAN")</f>
        <v>DERMAGA DAN RESTORAN</v>
      </c>
      <c r="K85" s="7">
        <f ca="1">IFERROR(__xludf.DUMMYFUNCTION("""COMPUTED_VALUE"""),3.01)</f>
        <v>3.01</v>
      </c>
      <c r="L85" s="7" t="str">
        <f ca="1">IFERROR(__xludf.DUMMYFUNCTION("""COMPUTED_VALUE"""),"ha")</f>
        <v>ha</v>
      </c>
      <c r="M85" s="7"/>
      <c r="N85" s="7"/>
      <c r="O85" s="7" t="str">
        <f ca="1">IFERROR(__xludf.DUMMYFUNCTION("""COMPUTED_VALUE"""),"04122310517100004")</f>
        <v>04122310517100004</v>
      </c>
      <c r="P85" s="8">
        <f ca="1">IFERROR(__xludf.DUMMYFUNCTION("""COMPUTED_VALUE"""),45264)</f>
        <v>45264</v>
      </c>
      <c r="Q85" s="8"/>
      <c r="R85" s="7" t="str">
        <f ca="1">IFERROR(__xludf.DUMMYFUNCTION("""COMPUTED_VALUE"""),"Tidak Menyampaikan Laporan")</f>
        <v>Tidak Menyampaikan Laporan</v>
      </c>
      <c r="S85" s="7"/>
      <c r="T85" s="7"/>
      <c r="U85" s="7"/>
      <c r="V85" s="7"/>
      <c r="W85" s="7"/>
      <c r="X85" s="7"/>
      <c r="Y85" s="7"/>
      <c r="Z85" s="7"/>
      <c r="AA85" s="7" t="str">
        <f ca="1">IFERROR(__xludf.DUMMYFUNCTION("""COMPUTED_VALUE"""),"SP1")</f>
        <v>SP1</v>
      </c>
      <c r="AB85" s="9" t="str">
        <f ca="1">IFERROR(__xludf.DUMMYFUNCTION("""COMPUTED_VALUE"""),"TIDAK MENYAMPAIKAN LAPORAN 1")</f>
        <v>TIDAK MENYAMPAIKAN LAPORAN 1</v>
      </c>
      <c r="AC85" s="9"/>
      <c r="AD85" s="9"/>
      <c r="AE85" s="11"/>
      <c r="AF85" s="7" t="str">
        <f ca="1">IFERROR(__xludf.DUMMYFUNCTION("""COMPUTED_VALUE"""),"BITUNG")</f>
        <v>BITUNG</v>
      </c>
      <c r="AG85" s="8"/>
      <c r="AH85" s="7"/>
      <c r="AI85" s="7"/>
      <c r="AJ85" s="7"/>
      <c r="AK85" s="6"/>
      <c r="AL85" s="6"/>
      <c r="AM85" s="6"/>
      <c r="AN85" s="6"/>
      <c r="AO85" s="6"/>
    </row>
    <row r="86" spans="1:41" ht="25.5" x14ac:dyDescent="0.3">
      <c r="A86" s="7">
        <f ca="1">IFERROR(__xludf.DUMMYFUNCTION("""COMPUTED_VALUE"""),1318)</f>
        <v>1318</v>
      </c>
      <c r="B86" s="7" t="str">
        <f ca="1">IFERROR(__xludf.DUMMYFUNCTION("""COMPUTED_VALUE"""),"23.13.00724")</f>
        <v>23.13.00724</v>
      </c>
      <c r="C86" s="7" t="str">
        <f ca="1">IFERROR(__xludf.DUMMYFUNCTION("""COMPUTED_VALUE"""),"PT CAHAYA SULTRA INDONESIA")</f>
        <v>PT CAHAYA SULTRA INDONESIA</v>
      </c>
      <c r="D86" s="7" t="str">
        <f ca="1">IFERROR(__xludf.DUMMYFUNCTION("""COMPUTED_VALUE"""),"085273581928 ")</f>
        <v xml:space="preserve">085273581928 </v>
      </c>
      <c r="E86" s="7" t="str">
        <f ca="1">IFERROR(__xludf.DUMMYFUNCTION("""COMPUTED_VALUE"""),"KAWASAN INDUSTRI VIRTU DRAGON NO. 111, KABUPATEN KONAWE, PROVINSI SULAWESI TENGGARA")</f>
        <v>KAWASAN INDUSTRI VIRTU DRAGON NO. 111, KABUPATEN KONAWE, PROVINSI SULAWESI TENGGARA</v>
      </c>
      <c r="F86" s="7" t="str">
        <f ca="1">IFERROR(__xludf.DUMMYFUNCTION("""COMPUTED_VALUE"""),"PERSETUJUAN")</f>
        <v>PERSETUJUAN</v>
      </c>
      <c r="G86" s="7" t="str">
        <f ca="1">IFERROR(__xludf.DUMMYFUNCTION("""COMPUTED_VALUE"""),"BERUSAHA")</f>
        <v>BERUSAHA</v>
      </c>
      <c r="H86" s="7" t="str">
        <f ca="1">IFERROR(__xludf.DUMMYFUNCTION("""COMPUTED_VALUE"""),"SULAWESI TENGGARA")</f>
        <v>SULAWESI TENGGARA</v>
      </c>
      <c r="I86" s="7" t="str">
        <f ca="1">IFERROR(__xludf.DUMMYFUNCTION("""COMPUTED_VALUE"""),"LAUT BANDA")</f>
        <v>LAUT BANDA</v>
      </c>
      <c r="J86" s="7" t="str">
        <f ca="1">IFERROR(__xludf.DUMMYFUNCTION("""COMPUTED_VALUE"""),"TERMINAL KHUSUS")</f>
        <v>TERMINAL KHUSUS</v>
      </c>
      <c r="K86" s="7">
        <f ca="1">IFERROR(__xludf.DUMMYFUNCTION("""COMPUTED_VALUE"""),18.32)</f>
        <v>18.32</v>
      </c>
      <c r="L86" s="7" t="str">
        <f ca="1">IFERROR(__xludf.DUMMYFUNCTION("""COMPUTED_VALUE"""),"ha")</f>
        <v>ha</v>
      </c>
      <c r="M86" s="7"/>
      <c r="N86" s="7"/>
      <c r="O86" s="7" t="str">
        <f ca="1">IFERROR(__xludf.DUMMYFUNCTION("""COMPUTED_VALUE"""),"04122310517400004")</f>
        <v>04122310517400004</v>
      </c>
      <c r="P86" s="8">
        <f ca="1">IFERROR(__xludf.DUMMYFUNCTION("""COMPUTED_VALUE"""),45264)</f>
        <v>45264</v>
      </c>
      <c r="Q86" s="8">
        <f ca="1">IFERROR(__xludf.DUMMYFUNCTION("""COMPUTED_VALUE"""),45672)</f>
        <v>45672</v>
      </c>
      <c r="R86" s="7" t="str">
        <f ca="1">IFERROR(__xludf.DUMMYFUNCTION("""COMPUTED_VALUE"""),"Terlambat")</f>
        <v>Terlambat</v>
      </c>
      <c r="S86" s="7"/>
      <c r="T86" s="7"/>
      <c r="U86" s="7"/>
      <c r="V86" s="7"/>
      <c r="W86" s="7"/>
      <c r="X86" s="7"/>
      <c r="Y86" s="7"/>
      <c r="Z86" s="7"/>
      <c r="AA86" s="7" t="str">
        <f ca="1">IFERROR(__xludf.DUMMYFUNCTION("""COMPUTED_VALUE"""),"SP1")</f>
        <v>SP1</v>
      </c>
      <c r="AB86" s="9" t="str">
        <f ca="1">IFERROR(__xludf.DUMMYFUNCTION("""COMPUTED_VALUE"""),"LAPORAN 1 TERLAMBAT")</f>
        <v>LAPORAN 1 TERLAMBAT</v>
      </c>
      <c r="AC86" s="9"/>
      <c r="AD86" s="9"/>
      <c r="AE86" s="11"/>
      <c r="AF86" s="7" t="str">
        <f ca="1">IFERROR(__xludf.DUMMYFUNCTION("""COMPUTED_VALUE"""),"BITUNG")</f>
        <v>BITUNG</v>
      </c>
      <c r="AG86" s="8"/>
      <c r="AH86" s="7"/>
      <c r="AI86" s="7"/>
      <c r="AJ86" s="7"/>
      <c r="AK86" s="6"/>
      <c r="AL86" s="6"/>
      <c r="AM86" s="6"/>
      <c r="AN86" s="6"/>
      <c r="AO86" s="6"/>
    </row>
    <row r="87" spans="1:41" ht="50.5" x14ac:dyDescent="0.3">
      <c r="A87" s="7">
        <f ca="1">IFERROR(__xludf.DUMMYFUNCTION("""COMPUTED_VALUE"""),1340)</f>
        <v>1340</v>
      </c>
      <c r="B87" s="7" t="str">
        <f ca="1">IFERROR(__xludf.DUMMYFUNCTION("""COMPUTED_VALUE"""),"23.13.00712")</f>
        <v>23.13.00712</v>
      </c>
      <c r="C87" s="7" t="str">
        <f ca="1">IFERROR(__xludf.DUMMYFUNCTION("""COMPUTED_VALUE"""),"PT CINTA JAYA")</f>
        <v>PT CINTA JAYA</v>
      </c>
      <c r="D87" s="7" t="str">
        <f ca="1">IFERROR(__xludf.DUMMYFUNCTION("""COMPUTED_VALUE"""),"081273329378/cintajaya.km@gmail.com")</f>
        <v>081273329378/cintajaya.km@gmail.com</v>
      </c>
      <c r="E87" s="7" t="str">
        <f ca="1">IFERROR(__xludf.DUMMYFUNCTION("""COMPUTED_VALUE"""),"JL. TIMAH V NO. 9, KOTA MAKASSAR, PROVINSI SULAWESI SELATAN")</f>
        <v>JL. TIMAH V NO. 9, KOTA MAKASSAR, PROVINSI SULAWESI SELATAN</v>
      </c>
      <c r="F87" s="7" t="str">
        <f ca="1">IFERROR(__xludf.DUMMYFUNCTION("""COMPUTED_VALUE"""),"PERSETUJUAN")</f>
        <v>PERSETUJUAN</v>
      </c>
      <c r="G87" s="7" t="str">
        <f ca="1">IFERROR(__xludf.DUMMYFUNCTION("""COMPUTED_VALUE"""),"BERUSAHA")</f>
        <v>BERUSAHA</v>
      </c>
      <c r="H87" s="7" t="str">
        <f ca="1">IFERROR(__xludf.DUMMYFUNCTION("""COMPUTED_VALUE"""),"SULAWESI TENGGARA")</f>
        <v>SULAWESI TENGGARA</v>
      </c>
      <c r="I87" s="7" t="str">
        <f ca="1">IFERROR(__xludf.DUMMYFUNCTION("""COMPUTED_VALUE"""),"LAUT BANDA")</f>
        <v>LAUT BANDA</v>
      </c>
      <c r="J87" s="7" t="str">
        <f ca="1">IFERROR(__xludf.DUMMYFUNCTION("""COMPUTED_VALUE"""),"TERMINAL KHUSUS")</f>
        <v>TERMINAL KHUSUS</v>
      </c>
      <c r="K87" s="7">
        <f ca="1">IFERROR(__xludf.DUMMYFUNCTION("""COMPUTED_VALUE"""),13.39)</f>
        <v>13.39</v>
      </c>
      <c r="L87" s="7" t="str">
        <f ca="1">IFERROR(__xludf.DUMMYFUNCTION("""COMPUTED_VALUE"""),"ha")</f>
        <v>ha</v>
      </c>
      <c r="M87" s="7"/>
      <c r="N87" s="7"/>
      <c r="O87" s="7" t="str">
        <f ca="1">IFERROR(__xludf.DUMMYFUNCTION("""COMPUTED_VALUE"""),"11122310517400005")</f>
        <v>11122310517400005</v>
      </c>
      <c r="P87" s="8">
        <f ca="1">IFERROR(__xludf.DUMMYFUNCTION("""COMPUTED_VALUE"""),45271)</f>
        <v>45271</v>
      </c>
      <c r="Q87" s="7"/>
      <c r="R87" s="7" t="str">
        <f ca="1">IFERROR(__xludf.DUMMYFUNCTION("""COMPUTED_VALUE"""),"Tidak Menyampaikan Laporan")</f>
        <v>Tidak Menyampaikan Laporan</v>
      </c>
      <c r="S87" s="7"/>
      <c r="T87" s="7"/>
      <c r="U87" s="7"/>
      <c r="V87" s="7"/>
      <c r="W87" s="7"/>
      <c r="X87" s="7"/>
      <c r="Y87" s="7"/>
      <c r="Z87" s="7"/>
      <c r="AA87" s="7" t="str">
        <f ca="1">IFERROR(__xludf.DUMMYFUNCTION("""COMPUTED_VALUE"""),"SP1")</f>
        <v>SP1</v>
      </c>
      <c r="AB87" s="9" t="str">
        <f ca="1">IFERROR(__xludf.DUMMYFUNCTION("""COMPUTED_VALUE"""),"TIDAK MENYAMPAIKAN LAPORAN 1")</f>
        <v>TIDAK MENYAMPAIKAN LAPORAN 1</v>
      </c>
      <c r="AC87" s="9"/>
      <c r="AD87" s="9"/>
      <c r="AE87" s="9"/>
      <c r="AF87" s="7" t="str">
        <f ca="1">IFERROR(__xludf.DUMMYFUNCTION("""COMPUTED_VALUE"""),"BITUNG")</f>
        <v>BITUNG</v>
      </c>
      <c r="AG87" s="7"/>
      <c r="AH87" s="7"/>
      <c r="AI87" s="7"/>
      <c r="AJ87" s="7"/>
      <c r="AK87" s="6"/>
      <c r="AL87" s="6"/>
      <c r="AM87" s="6"/>
      <c r="AN87" s="6"/>
      <c r="AO87" s="6"/>
    </row>
    <row r="88" spans="1:41" ht="50.5" x14ac:dyDescent="0.3">
      <c r="A88" s="7">
        <f ca="1">IFERROR(__xludf.DUMMYFUNCTION("""COMPUTED_VALUE"""),1373)</f>
        <v>1373</v>
      </c>
      <c r="B88" s="7" t="str">
        <f ca="1">IFERROR(__xludf.DUMMYFUNCTION("""COMPUTED_VALUE"""),"23.13.00773")</f>
        <v>23.13.00773</v>
      </c>
      <c r="C88" s="7" t="str">
        <f ca="1">IFERROR(__xludf.DUMMYFUNCTION("""COMPUTED_VALUE"""),"PT AKAR MAS INTERNASIONAL")</f>
        <v>PT AKAR MAS INTERNASIONAL</v>
      </c>
      <c r="D88" s="7" t="str">
        <f ca="1">IFERROR(__xludf.DUMMYFUNCTION("""COMPUTED_VALUE"""),"082110788278/akarmas2009@gmail.com")</f>
        <v>082110788278/akarmas2009@gmail.com</v>
      </c>
      <c r="E88" s="7" t="str">
        <f ca="1">IFERROR(__xludf.DUMMYFUNCTION("""COMPUTED_VALUE"""),"JL. HALUOLEO NO. 18, DESA WATULIANDU, KECAMATAN KOLAKA, KABUPATEN KOLAKA, PROVINSI SULAWESI TENGGARA")</f>
        <v>JL. HALUOLEO NO. 18, DESA WATULIANDU, KECAMATAN KOLAKA, KABUPATEN KOLAKA, PROVINSI SULAWESI TENGGARA</v>
      </c>
      <c r="F88" s="7" t="str">
        <f ca="1">IFERROR(__xludf.DUMMYFUNCTION("""COMPUTED_VALUE"""),"PERSETUJUAN")</f>
        <v>PERSETUJUAN</v>
      </c>
      <c r="G88" s="7" t="str">
        <f ca="1">IFERROR(__xludf.DUMMYFUNCTION("""COMPUTED_VALUE"""),"BERUSAHA")</f>
        <v>BERUSAHA</v>
      </c>
      <c r="H88" s="7" t="str">
        <f ca="1">IFERROR(__xludf.DUMMYFUNCTION("""COMPUTED_VALUE"""),"SULAWESI TENGGARA")</f>
        <v>SULAWESI TENGGARA</v>
      </c>
      <c r="I88" s="7" t="str">
        <f ca="1">IFERROR(__xludf.DUMMYFUNCTION("""COMPUTED_VALUE"""),"TELUK BONE")</f>
        <v>TELUK BONE</v>
      </c>
      <c r="J88" s="7" t="str">
        <f ca="1">IFERROR(__xludf.DUMMYFUNCTION("""COMPUTED_VALUE"""),"TERMINAL KHUSUS")</f>
        <v>TERMINAL KHUSUS</v>
      </c>
      <c r="K88" s="7">
        <f ca="1">IFERROR(__xludf.DUMMYFUNCTION("""COMPUTED_VALUE"""),40.04)</f>
        <v>40.04</v>
      </c>
      <c r="L88" s="7" t="str">
        <f ca="1">IFERROR(__xludf.DUMMYFUNCTION("""COMPUTED_VALUE"""),"ha")</f>
        <v>ha</v>
      </c>
      <c r="M88" s="7"/>
      <c r="N88" s="7"/>
      <c r="O88" s="7" t="str">
        <f ca="1">IFERROR(__xludf.DUMMYFUNCTION("""COMPUTED_VALUE"""),"21122310517400006")</f>
        <v>21122310517400006</v>
      </c>
      <c r="P88" s="8">
        <f ca="1">IFERROR(__xludf.DUMMYFUNCTION("""COMPUTED_VALUE"""),45281)</f>
        <v>45281</v>
      </c>
      <c r="Q88" s="7"/>
      <c r="R88" s="7" t="str">
        <f ca="1">IFERROR(__xludf.DUMMYFUNCTION("""COMPUTED_VALUE"""),"Tidak Menyampaikan Laporan")</f>
        <v>Tidak Menyampaikan Laporan</v>
      </c>
      <c r="S88" s="7"/>
      <c r="T88" s="7"/>
      <c r="U88" s="7"/>
      <c r="V88" s="7"/>
      <c r="W88" s="7"/>
      <c r="X88" s="7"/>
      <c r="Y88" s="7"/>
      <c r="Z88" s="7"/>
      <c r="AA88" s="7" t="str">
        <f ca="1">IFERROR(__xludf.DUMMYFUNCTION("""COMPUTED_VALUE"""),"SP1")</f>
        <v>SP1</v>
      </c>
      <c r="AB88" s="9" t="str">
        <f ca="1">IFERROR(__xludf.DUMMYFUNCTION("""COMPUTED_VALUE"""),"TIDAK MENYAMPAIKAN LAPORAN 1")</f>
        <v>TIDAK MENYAMPAIKAN LAPORAN 1</v>
      </c>
      <c r="AC88" s="9"/>
      <c r="AD88" s="9"/>
      <c r="AE88" s="9"/>
      <c r="AF88" s="7" t="str">
        <f ca="1">IFERROR(__xludf.DUMMYFUNCTION("""COMPUTED_VALUE"""),"BITUNG")</f>
        <v>BITUNG</v>
      </c>
      <c r="AG88" s="7"/>
      <c r="AH88" s="7"/>
      <c r="AI88" s="7"/>
      <c r="AJ88" s="7"/>
      <c r="AK88" s="6"/>
      <c r="AL88" s="6"/>
      <c r="AM88" s="6"/>
      <c r="AN88" s="6"/>
      <c r="AO88" s="6"/>
    </row>
    <row r="89" spans="1:41" ht="50.5" x14ac:dyDescent="0.3">
      <c r="A89" s="7">
        <f ca="1">IFERROR(__xludf.DUMMYFUNCTION("""COMPUTED_VALUE"""),1377)</f>
        <v>1377</v>
      </c>
      <c r="B89" s="7" t="str">
        <f ca="1">IFERROR(__xludf.DUMMYFUNCTION("""COMPUTED_VALUE"""),"23.13.00787")</f>
        <v>23.13.00787</v>
      </c>
      <c r="C89" s="7" t="str">
        <f ca="1">IFERROR(__xludf.DUMMYFUNCTION("""COMPUTED_VALUE"""),"PT PLN NUSANTARA POWER")</f>
        <v>PT PLN NUSANTARA POWER</v>
      </c>
      <c r="D89" s="7" t="str">
        <f ca="1">IFERROR(__xludf.DUMMYFUNCTION("""COMPUTED_VALUE"""),"08112828996/info@plnnusantarapower.co.id")</f>
        <v>08112828996/info@plnnusantarapower.co.id</v>
      </c>
      <c r="E89" s="7" t="str">
        <f ca="1">IFERROR(__xludf.DUMMYFUNCTION("""COMPUTED_VALUE"""),"JL. KETINTANG BARU NO. 11, KELURAHAN KETINTANG, KECAMATAN GAYUNGAN, KOTA SURABAYA, PROVINSI JAWA TIMUR")</f>
        <v>JL. KETINTANG BARU NO. 11, KELURAHAN KETINTANG, KECAMATAN GAYUNGAN, KOTA SURABAYA, PROVINSI JAWA TIMUR</v>
      </c>
      <c r="F89" s="7" t="str">
        <f ca="1">IFERROR(__xludf.DUMMYFUNCTION("""COMPUTED_VALUE"""),"PERSETUJUAN")</f>
        <v>PERSETUJUAN</v>
      </c>
      <c r="G89" s="7" t="str">
        <f ca="1">IFERROR(__xludf.DUMMYFUNCTION("""COMPUTED_VALUE"""),"BERUSAHA")</f>
        <v>BERUSAHA</v>
      </c>
      <c r="H89" s="7" t="str">
        <f ca="1">IFERROR(__xludf.DUMMYFUNCTION("""COMPUTED_VALUE"""),"SULAWESI TENGGARA")</f>
        <v>SULAWESI TENGGARA</v>
      </c>
      <c r="I89" s="7" t="str">
        <f ca="1">IFERROR(__xludf.DUMMYFUNCTION("""COMPUTED_VALUE"""),"LAUT BANDA")</f>
        <v>LAUT BANDA</v>
      </c>
      <c r="J89" s="7" t="str">
        <f ca="1">IFERROR(__xludf.DUMMYFUNCTION("""COMPUTED_VALUE"""),"TERMINAL KHUSUS PLTMG NII TANASA")</f>
        <v>TERMINAL KHUSUS PLTMG NII TANASA</v>
      </c>
      <c r="K89" s="7">
        <f ca="1">IFERROR(__xludf.DUMMYFUNCTION("""COMPUTED_VALUE"""),2.56)</f>
        <v>2.56</v>
      </c>
      <c r="L89" s="7" t="str">
        <f ca="1">IFERROR(__xludf.DUMMYFUNCTION("""COMPUTED_VALUE"""),"ha")</f>
        <v>ha</v>
      </c>
      <c r="M89" s="7"/>
      <c r="N89" s="7"/>
      <c r="O89" s="7" t="str">
        <f ca="1">IFERROR(__xludf.DUMMYFUNCTION("""COMPUTED_VALUE"""),"21122310517400007")</f>
        <v>21122310517400007</v>
      </c>
      <c r="P89" s="8">
        <f ca="1">IFERROR(__xludf.DUMMYFUNCTION("""COMPUTED_VALUE"""),45281)</f>
        <v>45281</v>
      </c>
      <c r="Q89" s="7"/>
      <c r="R89" s="7" t="str">
        <f ca="1">IFERROR(__xludf.DUMMYFUNCTION("""COMPUTED_VALUE"""),"Tidak Menyampaikan Laporan")</f>
        <v>Tidak Menyampaikan Laporan</v>
      </c>
      <c r="S89" s="7"/>
      <c r="T89" s="7"/>
      <c r="U89" s="7"/>
      <c r="V89" s="7"/>
      <c r="W89" s="7"/>
      <c r="X89" s="7"/>
      <c r="Y89" s="7"/>
      <c r="Z89" s="7"/>
      <c r="AA89" s="7" t="str">
        <f ca="1">IFERROR(__xludf.DUMMYFUNCTION("""COMPUTED_VALUE"""),"SP1")</f>
        <v>SP1</v>
      </c>
      <c r="AB89" s="9" t="str">
        <f ca="1">IFERROR(__xludf.DUMMYFUNCTION("""COMPUTED_VALUE"""),"TIDAK MENYAMPAIKAN LAPORAN 1")</f>
        <v>TIDAK MENYAMPAIKAN LAPORAN 1</v>
      </c>
      <c r="AC89" s="9"/>
      <c r="AD89" s="9"/>
      <c r="AE89" s="9"/>
      <c r="AF89" s="7" t="str">
        <f ca="1">IFERROR(__xludf.DUMMYFUNCTION("""COMPUTED_VALUE"""),"BITUNG")</f>
        <v>BITUNG</v>
      </c>
      <c r="AG89" s="7"/>
      <c r="AH89" s="7"/>
      <c r="AI89" s="7"/>
      <c r="AJ89" s="7"/>
      <c r="AK89" s="6"/>
      <c r="AL89" s="6"/>
      <c r="AM89" s="6"/>
      <c r="AN89" s="6"/>
      <c r="AO89" s="6"/>
    </row>
    <row r="90" spans="1:41" ht="25.5" x14ac:dyDescent="0.3">
      <c r="A90" s="7">
        <f ca="1">IFERROR(__xludf.DUMMYFUNCTION("""COMPUTED_VALUE"""),1405)</f>
        <v>1405</v>
      </c>
      <c r="B90" s="7" t="str">
        <f ca="1">IFERROR(__xludf.DUMMYFUNCTION("""COMPUTED_VALUE"""),"23.13.00803")</f>
        <v>23.13.00803</v>
      </c>
      <c r="C90" s="7" t="str">
        <f ca="1">IFERROR(__xludf.DUMMYFUNCTION("""COMPUTED_VALUE"""),"PT PANAMBEA JAYA SHIPYARD")</f>
        <v>PT PANAMBEA JAYA SHIPYARD</v>
      </c>
      <c r="D90" s="7" t="str">
        <f ca="1">IFERROR(__xludf.DUMMYFUNCTION("""COMPUTED_VALUE"""),"0811693647/ptpanambeajayashipyard@gmail.com")</f>
        <v>0811693647/ptpanambeajayashipyard@gmail.com</v>
      </c>
      <c r="E90" s="7" t="str">
        <f ca="1">IFERROR(__xludf.DUMMYFUNCTION("""COMPUTED_VALUE"""),"JL. POROS MORAMO LAONTI, DESA PANAMBEA BARATA, KECAMATAN MORAMO, KABUPATEN KONAWE SELATAN, PROVINSI SULAWESI TENGGARA")</f>
        <v>JL. POROS MORAMO LAONTI, DESA PANAMBEA BARATA, KECAMATAN MORAMO, KABUPATEN KONAWE SELATAN, PROVINSI SULAWESI TENGGARA</v>
      </c>
      <c r="F90" s="7" t="str">
        <f ca="1">IFERROR(__xludf.DUMMYFUNCTION("""COMPUTED_VALUE"""),"PERSETUJUAN")</f>
        <v>PERSETUJUAN</v>
      </c>
      <c r="G90" s="7" t="str">
        <f ca="1">IFERROR(__xludf.DUMMYFUNCTION("""COMPUTED_VALUE"""),"BERUSAHA")</f>
        <v>BERUSAHA</v>
      </c>
      <c r="H90" s="7" t="str">
        <f ca="1">IFERROR(__xludf.DUMMYFUNCTION("""COMPUTED_VALUE"""),"SULAWESI TENGGARA")</f>
        <v>SULAWESI TENGGARA</v>
      </c>
      <c r="I90" s="7" t="str">
        <f ca="1">IFERROR(__xludf.DUMMYFUNCTION("""COMPUTED_VALUE"""),"LAUT BANDA")</f>
        <v>LAUT BANDA</v>
      </c>
      <c r="J90" s="7" t="str">
        <f ca="1">IFERROR(__xludf.DUMMYFUNCTION("""COMPUTED_VALUE"""),"INDUSTRI GALANGAN KAPAL")</f>
        <v>INDUSTRI GALANGAN KAPAL</v>
      </c>
      <c r="K90" s="7">
        <f ca="1">IFERROR(__xludf.DUMMYFUNCTION("""COMPUTED_VALUE"""),9.01)</f>
        <v>9.01</v>
      </c>
      <c r="L90" s="7" t="str">
        <f ca="1">IFERROR(__xludf.DUMMYFUNCTION("""COMPUTED_VALUE"""),"ha")</f>
        <v>ha</v>
      </c>
      <c r="M90" s="7"/>
      <c r="N90" s="7"/>
      <c r="O90" s="7" t="str">
        <f ca="1">IFERROR(__xludf.DUMMYFUNCTION("""COMPUTED_VALUE"""),"29122310517400002")</f>
        <v>29122310517400002</v>
      </c>
      <c r="P90" s="8">
        <f ca="1">IFERROR(__xludf.DUMMYFUNCTION("""COMPUTED_VALUE"""),45289)</f>
        <v>45289</v>
      </c>
      <c r="Q90" s="8">
        <f ca="1">IFERROR(__xludf.DUMMYFUNCTION("""COMPUTED_VALUE"""),45695)</f>
        <v>45695</v>
      </c>
      <c r="R90" s="7" t="str">
        <f ca="1">IFERROR(__xludf.DUMMYFUNCTION("""COMPUTED_VALUE"""),"Terlambat")</f>
        <v>Terlambat</v>
      </c>
      <c r="S90" s="7"/>
      <c r="T90" s="7"/>
      <c r="U90" s="7"/>
      <c r="V90" s="7"/>
      <c r="W90" s="7"/>
      <c r="X90" s="7"/>
      <c r="Y90" s="7"/>
      <c r="Z90" s="7"/>
      <c r="AA90" s="7" t="str">
        <f ca="1">IFERROR(__xludf.DUMMYFUNCTION("""COMPUTED_VALUE"""),"SP1")</f>
        <v>SP1</v>
      </c>
      <c r="AB90" s="9" t="str">
        <f ca="1">IFERROR(__xludf.DUMMYFUNCTION("""COMPUTED_VALUE"""),"LAPORAN 1 TERLAMBAT")</f>
        <v>LAPORAN 1 TERLAMBAT</v>
      </c>
      <c r="AC90" s="9"/>
      <c r="AD90" s="9"/>
      <c r="AE90" s="11"/>
      <c r="AF90" s="7" t="str">
        <f ca="1">IFERROR(__xludf.DUMMYFUNCTION("""COMPUTED_VALUE"""),"BITUNG")</f>
        <v>BITUNG</v>
      </c>
      <c r="AG90" s="8"/>
      <c r="AH90" s="7"/>
      <c r="AI90" s="7"/>
      <c r="AJ90" s="7"/>
      <c r="AK90" s="6"/>
      <c r="AL90" s="6"/>
      <c r="AM90" s="6"/>
      <c r="AN90" s="6"/>
      <c r="AO90" s="6"/>
    </row>
    <row r="91" spans="1:41" ht="50.5" x14ac:dyDescent="0.3">
      <c r="A91" s="7">
        <f ca="1">IFERROR(__xludf.DUMMYFUNCTION("""COMPUTED_VALUE"""),1406)</f>
        <v>1406</v>
      </c>
      <c r="B91" s="7" t="str">
        <f ca="1">IFERROR(__xludf.DUMMYFUNCTION("""COMPUTED_VALUE"""),"23.13.00805")</f>
        <v>23.13.00805</v>
      </c>
      <c r="C91" s="7" t="str">
        <f ca="1">IFERROR(__xludf.DUMMYFUNCTION("""COMPUTED_VALUE"""),"PT PLN NUSANTARA POWER")</f>
        <v>PT PLN NUSANTARA POWER</v>
      </c>
      <c r="D91" s="7" t="str">
        <f ca="1">IFERROR(__xludf.DUMMYFUNCTION("""COMPUTED_VALUE"""),"08112828996/info@plnnusantarapower.co.id")</f>
        <v>08112828996/info@plnnusantarapower.co.id</v>
      </c>
      <c r="E91" s="7" t="str">
        <f ca="1">IFERROR(__xludf.DUMMYFUNCTION("""COMPUTED_VALUE"""),"JL. KETINTANG BARU NO. 11, KELURAHAN KETINTANG, KECAMATAN GAYUNGAN, KOTA SURABAYA, PROVINSI JAWA TIMUR")</f>
        <v>JL. KETINTANG BARU NO. 11, KELURAHAN KETINTANG, KECAMATAN GAYUNGAN, KOTA SURABAYA, PROVINSI JAWA TIMUR</v>
      </c>
      <c r="F91" s="7" t="str">
        <f ca="1">IFERROR(__xludf.DUMMYFUNCTION("""COMPUTED_VALUE"""),"PERSETUJUAN")</f>
        <v>PERSETUJUAN</v>
      </c>
      <c r="G91" s="7" t="str">
        <f ca="1">IFERROR(__xludf.DUMMYFUNCTION("""COMPUTED_VALUE"""),"BERUSAHA")</f>
        <v>BERUSAHA</v>
      </c>
      <c r="H91" s="7" t="str">
        <f ca="1">IFERROR(__xludf.DUMMYFUNCTION("""COMPUTED_VALUE"""),"GORONTALO")</f>
        <v>GORONTALO</v>
      </c>
      <c r="I91" s="7" t="str">
        <f ca="1">IFERROR(__xludf.DUMMYFUNCTION("""COMPUTED_VALUE"""),"LAUT SULAWESI")</f>
        <v>LAUT SULAWESI</v>
      </c>
      <c r="J91" s="7" t="str">
        <f ca="1">IFERROR(__xludf.DUMMYFUNCTION("""COMPUTED_VALUE"""),"TERMINAL KHUSUS")</f>
        <v>TERMINAL KHUSUS</v>
      </c>
      <c r="K91" s="7">
        <f ca="1">IFERROR(__xludf.DUMMYFUNCTION("""COMPUTED_VALUE"""),6.92)</f>
        <v>6.92</v>
      </c>
      <c r="L91" s="7" t="str">
        <f ca="1">IFERROR(__xludf.DUMMYFUNCTION("""COMPUTED_VALUE"""),"ha")</f>
        <v>ha</v>
      </c>
      <c r="M91" s="7"/>
      <c r="N91" s="7"/>
      <c r="O91" s="7" t="str">
        <f ca="1">IFERROR(__xludf.DUMMYFUNCTION("""COMPUTED_VALUE"""),"29122310517500007")</f>
        <v>29122310517500007</v>
      </c>
      <c r="P91" s="8">
        <f ca="1">IFERROR(__xludf.DUMMYFUNCTION("""COMPUTED_VALUE"""),45289)</f>
        <v>45289</v>
      </c>
      <c r="Q91" s="8"/>
      <c r="R91" s="7" t="str">
        <f ca="1">IFERROR(__xludf.DUMMYFUNCTION("""COMPUTED_VALUE"""),"Tidak Menyampaikan Laporan")</f>
        <v>Tidak Menyampaikan Laporan</v>
      </c>
      <c r="S91" s="8">
        <f ca="1">IFERROR(__xludf.DUMMYFUNCTION("""COMPUTED_VALUE"""),45676)</f>
        <v>45676</v>
      </c>
      <c r="T91" s="7"/>
      <c r="U91" s="7"/>
      <c r="V91" s="7"/>
      <c r="W91" s="7"/>
      <c r="X91" s="7"/>
      <c r="Y91" s="7"/>
      <c r="Z91" s="7"/>
      <c r="AA91" s="7" t="str">
        <f ca="1">IFERROR(__xludf.DUMMYFUNCTION("""COMPUTED_VALUE"""),"SP1")</f>
        <v>SP1</v>
      </c>
      <c r="AB91" s="9" t="str">
        <f ca="1">IFERROR(__xludf.DUMMYFUNCTION("""COMPUTED_VALUE"""),"TIDAK MENYAMPAIKAN LAPORAN 1")</f>
        <v>TIDAK MENYAMPAIKAN LAPORAN 1</v>
      </c>
      <c r="AC91" s="9"/>
      <c r="AD91" s="9"/>
      <c r="AE91" s="11"/>
      <c r="AF91" s="7" t="str">
        <f ca="1">IFERROR(__xludf.DUMMYFUNCTION("""COMPUTED_VALUE"""),"BITUNG")</f>
        <v>BITUNG</v>
      </c>
      <c r="AG91" s="8"/>
      <c r="AH91" s="7"/>
      <c r="AI91" s="7"/>
      <c r="AJ91" s="7"/>
      <c r="AK91" s="6"/>
      <c r="AL91" s="6"/>
      <c r="AM91" s="6"/>
      <c r="AN91" s="6"/>
      <c r="AO91" s="6"/>
    </row>
    <row r="92" spans="1:41" ht="25.5" x14ac:dyDescent="0.3">
      <c r="A92" s="7">
        <f ca="1">IFERROR(__xludf.DUMMYFUNCTION("""COMPUTED_VALUE"""),1407)</f>
        <v>1407</v>
      </c>
      <c r="B92" s="7" t="str">
        <f ca="1">IFERROR(__xludf.DUMMYFUNCTION("""COMPUTED_VALUE"""),"23.13.00806")</f>
        <v>23.13.00806</v>
      </c>
      <c r="C92" s="7" t="str">
        <f ca="1">IFERROR(__xludf.DUMMYFUNCTION("""COMPUTED_VALUE"""),"PT PLN NUSANTARA POWER")</f>
        <v>PT PLN NUSANTARA POWER</v>
      </c>
      <c r="D92" s="7" t="str">
        <f ca="1">IFERROR(__xludf.DUMMYFUNCTION("""COMPUTED_VALUE"""),"08112828996/info@plnnusantarapower.co.id")</f>
        <v>08112828996/info@plnnusantarapower.co.id</v>
      </c>
      <c r="E92" s="7" t="str">
        <f ca="1">IFERROR(__xludf.DUMMYFUNCTION("""COMPUTED_VALUE"""),"JL. KETINTANG BARU NO. 11, KELURAHAN KETINTANG, KECAMATAN GAYUNGAN, KOTA SURABAYA, PROVINSI JAWA TIMUR")</f>
        <v>JL. KETINTANG BARU NO. 11, KELURAHAN KETINTANG, KECAMATAN GAYUNGAN, KOTA SURABAYA, PROVINSI JAWA TIMUR</v>
      </c>
      <c r="F92" s="7" t="str">
        <f ca="1">IFERROR(__xludf.DUMMYFUNCTION("""COMPUTED_VALUE"""),"PERSETUJUAN")</f>
        <v>PERSETUJUAN</v>
      </c>
      <c r="G92" s="7" t="str">
        <f ca="1">IFERROR(__xludf.DUMMYFUNCTION("""COMPUTED_VALUE"""),"BERUSAHA")</f>
        <v>BERUSAHA</v>
      </c>
      <c r="H92" s="7" t="str">
        <f ca="1">IFERROR(__xludf.DUMMYFUNCTION("""COMPUTED_VALUE"""),"GORONTALO")</f>
        <v>GORONTALO</v>
      </c>
      <c r="I92" s="7" t="str">
        <f ca="1">IFERROR(__xludf.DUMMYFUNCTION("""COMPUTED_VALUE"""),"TELUK TOMINI")</f>
        <v>TELUK TOMINI</v>
      </c>
      <c r="J92" s="7" t="str">
        <f ca="1">IFERROR(__xludf.DUMMYFUNCTION("""COMPUTED_VALUE"""),"TERMINAL KHUSUS")</f>
        <v>TERMINAL KHUSUS</v>
      </c>
      <c r="K92" s="7">
        <f ca="1">IFERROR(__xludf.DUMMYFUNCTION("""COMPUTED_VALUE"""),14.02)</f>
        <v>14.02</v>
      </c>
      <c r="L92" s="7" t="str">
        <f ca="1">IFERROR(__xludf.DUMMYFUNCTION("""COMPUTED_VALUE"""),"ha")</f>
        <v>ha</v>
      </c>
      <c r="M92" s="7"/>
      <c r="N92" s="7"/>
      <c r="O92" s="7" t="str">
        <f ca="1">IFERROR(__xludf.DUMMYFUNCTION("""COMPUTED_VALUE"""),"29122310517500006")</f>
        <v>29122310517500006</v>
      </c>
      <c r="P92" s="8">
        <f ca="1">IFERROR(__xludf.DUMMYFUNCTION("""COMPUTED_VALUE"""),45289)</f>
        <v>45289</v>
      </c>
      <c r="Q92" s="8">
        <f ca="1">IFERROR(__xludf.DUMMYFUNCTION("""COMPUTED_VALUE"""),45672)</f>
        <v>45672</v>
      </c>
      <c r="R92" s="7" t="str">
        <f ca="1">IFERROR(__xludf.DUMMYFUNCTION("""COMPUTED_VALUE"""),"Terlambat")</f>
        <v>Terlambat</v>
      </c>
      <c r="S92" s="7"/>
      <c r="T92" s="7"/>
      <c r="U92" s="7"/>
      <c r="V92" s="7"/>
      <c r="W92" s="7"/>
      <c r="X92" s="7"/>
      <c r="Y92" s="7"/>
      <c r="Z92" s="7"/>
      <c r="AA92" s="7" t="str">
        <f ca="1">IFERROR(__xludf.DUMMYFUNCTION("""COMPUTED_VALUE"""),"SP1")</f>
        <v>SP1</v>
      </c>
      <c r="AB92" s="9" t="str">
        <f ca="1">IFERROR(__xludf.DUMMYFUNCTION("""COMPUTED_VALUE"""),"LAPORAN 1 TERLAMBAT")</f>
        <v>LAPORAN 1 TERLAMBAT</v>
      </c>
      <c r="AC92" s="9"/>
      <c r="AD92" s="9"/>
      <c r="AE92" s="11"/>
      <c r="AF92" s="7" t="str">
        <f ca="1">IFERROR(__xludf.DUMMYFUNCTION("""COMPUTED_VALUE"""),"BITUNG")</f>
        <v>BITUNG</v>
      </c>
      <c r="AG92" s="8"/>
      <c r="AH92" s="7"/>
      <c r="AI92" s="7"/>
      <c r="AJ92" s="7"/>
      <c r="AK92" s="6"/>
      <c r="AL92" s="6"/>
      <c r="AM92" s="6"/>
      <c r="AN92" s="6"/>
      <c r="AO92" s="6"/>
    </row>
    <row r="93" spans="1:41" ht="25.5" x14ac:dyDescent="0.3">
      <c r="A93" s="7">
        <f ca="1">IFERROR(__xludf.DUMMYFUNCTION("""COMPUTED_VALUE"""),1428)</f>
        <v>1428</v>
      </c>
      <c r="B93" s="7" t="str">
        <f ca="1">IFERROR(__xludf.DUMMYFUNCTION("""COMPUTED_VALUE"""),"24.13.00012")</f>
        <v>24.13.00012</v>
      </c>
      <c r="C93" s="7" t="str">
        <f ca="1">IFERROR(__xludf.DUMMYFUNCTION("""COMPUTED_VALUE"""),"PT MAKMUR LESTARI PRIMATAMA")</f>
        <v>PT MAKMUR LESTARI PRIMATAMA</v>
      </c>
      <c r="D93" s="7" t="str">
        <f ca="1">IFERROR(__xludf.DUMMYFUNCTION("""COMPUTED_VALUE"""),"081235522097 / pt.makmurlestariprima@gmail.com")</f>
        <v>081235522097 / pt.makmurlestariprima@gmail.com</v>
      </c>
      <c r="E93" s="7" t="str">
        <f ca="1">IFERROR(__xludf.DUMMYFUNCTION("""COMPUTED_VALUE"""),"CITRA TOWERS KEMAYORAN LT. 18 B/A-E, JL. BENYAMIN SUAEB KAV. A6, KELURAHAN KEBON KOSONG, KECAMATAN KEMAYORAN, KOTA JAKARTA PUSAT, PROVINSI DKI JAKARTA")</f>
        <v>CITRA TOWERS KEMAYORAN LT. 18 B/A-E, JL. BENYAMIN SUAEB KAV. A6, KELURAHAN KEBON KOSONG, KECAMATAN KEMAYORAN, KOTA JAKARTA PUSAT, PROVINSI DKI JAKARTA</v>
      </c>
      <c r="F93" s="7" t="str">
        <f ca="1">IFERROR(__xludf.DUMMYFUNCTION("""COMPUTED_VALUE"""),"PERSETUJUAN")</f>
        <v>PERSETUJUAN</v>
      </c>
      <c r="G93" s="7" t="str">
        <f ca="1">IFERROR(__xludf.DUMMYFUNCTION("""COMPUTED_VALUE"""),"BERUSAHA")</f>
        <v>BERUSAHA</v>
      </c>
      <c r="H93" s="7" t="str">
        <f ca="1">IFERROR(__xludf.DUMMYFUNCTION("""COMPUTED_VALUE"""),"SULAWESI TENGGARA")</f>
        <v>SULAWESI TENGGARA</v>
      </c>
      <c r="I93" s="7" t="str">
        <f ca="1">IFERROR(__xludf.DUMMYFUNCTION("""COMPUTED_VALUE"""),"LAUT BANDA")</f>
        <v>LAUT BANDA</v>
      </c>
      <c r="J93" s="7" t="str">
        <f ca="1">IFERROR(__xludf.DUMMYFUNCTION("""COMPUTED_VALUE"""),"TERMINAL KHUSUS")</f>
        <v>TERMINAL KHUSUS</v>
      </c>
      <c r="K93" s="7">
        <f ca="1">IFERROR(__xludf.DUMMYFUNCTION("""COMPUTED_VALUE"""),37.67)</f>
        <v>37.67</v>
      </c>
      <c r="L93" s="7" t="str">
        <f ca="1">IFERROR(__xludf.DUMMYFUNCTION("""COMPUTED_VALUE"""),"ha")</f>
        <v>ha</v>
      </c>
      <c r="M93" s="7"/>
      <c r="N93" s="7"/>
      <c r="O93" s="7" t="str">
        <f ca="1">IFERROR(__xludf.DUMMYFUNCTION("""COMPUTED_VALUE"""),"11012410517400004")</f>
        <v>11012410517400004</v>
      </c>
      <c r="P93" s="8">
        <f ca="1">IFERROR(__xludf.DUMMYFUNCTION("""COMPUTED_VALUE"""),45302)</f>
        <v>45302</v>
      </c>
      <c r="Q93" s="8">
        <f ca="1">IFERROR(__xludf.DUMMYFUNCTION("""COMPUTED_VALUE"""),45701)</f>
        <v>45701</v>
      </c>
      <c r="R93" s="7" t="str">
        <f ca="1">IFERROR(__xludf.DUMMYFUNCTION("""COMPUTED_VALUE"""),"Terlambat")</f>
        <v>Terlambat</v>
      </c>
      <c r="S93" s="7"/>
      <c r="T93" s="7"/>
      <c r="U93" s="7"/>
      <c r="V93" s="7"/>
      <c r="W93" s="7"/>
      <c r="X93" s="7"/>
      <c r="Y93" s="7"/>
      <c r="Z93" s="7"/>
      <c r="AA93" s="7" t="str">
        <f ca="1">IFERROR(__xludf.DUMMYFUNCTION("""COMPUTED_VALUE"""),"SP1")</f>
        <v>SP1</v>
      </c>
      <c r="AB93" s="9" t="str">
        <f ca="1">IFERROR(__xludf.DUMMYFUNCTION("""COMPUTED_VALUE"""),"LAPORAN 1 TERLAMBAT")</f>
        <v>LAPORAN 1 TERLAMBAT</v>
      </c>
      <c r="AC93" s="9"/>
      <c r="AD93" s="9"/>
      <c r="AE93" s="11"/>
      <c r="AF93" s="7" t="str">
        <f ca="1">IFERROR(__xludf.DUMMYFUNCTION("""COMPUTED_VALUE"""),"BITUNG")</f>
        <v>BITUNG</v>
      </c>
      <c r="AG93" s="8"/>
      <c r="AH93" s="7"/>
      <c r="AI93" s="7"/>
      <c r="AJ93" s="7"/>
      <c r="AK93" s="6"/>
      <c r="AL93" s="6"/>
      <c r="AM93" s="6"/>
      <c r="AN93" s="6"/>
      <c r="AO93" s="6"/>
    </row>
    <row r="94" spans="1:41" ht="25.5" x14ac:dyDescent="0.3">
      <c r="A94" s="7">
        <f ca="1">IFERROR(__xludf.DUMMYFUNCTION("""COMPUTED_VALUE"""),1430)</f>
        <v>1430</v>
      </c>
      <c r="B94" s="7" t="str">
        <f ca="1">IFERROR(__xludf.DUMMYFUNCTION("""COMPUTED_VALUE"""),"24.13.00014")</f>
        <v>24.13.00014</v>
      </c>
      <c r="C94" s="7" t="str">
        <f ca="1">IFERROR(__xludf.DUMMYFUNCTION("""COMPUTED_VALUE"""),"PT KEMBAR EMAS SULTRA")</f>
        <v>PT KEMBAR EMAS SULTRA</v>
      </c>
      <c r="D94" s="7" t="str">
        <f ca="1">IFERROR(__xludf.DUMMYFUNCTION("""COMPUTED_VALUE"""),"081217177586 / ptkembaremassultra@outlook.com")</f>
        <v>081217177586 / ptkembaremassultra@outlook.com</v>
      </c>
      <c r="E94" s="7" t="str">
        <f ca="1">IFERROR(__xludf.DUMMYFUNCTION("""COMPUTED_VALUE"""),"CITRA TOWERS KEMAYORAN LT. 18 B/A-E, JL. BENYAMIN SUAEB KAV. A6, KELURAHAN KEBON KOSONG, KECAMATAN KEMAYORAN, KOTA JAKARTA PUSAT, PROVINSI DKI JAKARTA")</f>
        <v>CITRA TOWERS KEMAYORAN LT. 18 B/A-E, JL. BENYAMIN SUAEB KAV. A6, KELURAHAN KEBON KOSONG, KECAMATAN KEMAYORAN, KOTA JAKARTA PUSAT, PROVINSI DKI JAKARTA</v>
      </c>
      <c r="F94" s="7" t="str">
        <f ca="1">IFERROR(__xludf.DUMMYFUNCTION("""COMPUTED_VALUE"""),"PERSETUJUAN")</f>
        <v>PERSETUJUAN</v>
      </c>
      <c r="G94" s="7" t="str">
        <f ca="1">IFERROR(__xludf.DUMMYFUNCTION("""COMPUTED_VALUE"""),"BERUSAHA")</f>
        <v>BERUSAHA</v>
      </c>
      <c r="H94" s="7" t="str">
        <f ca="1">IFERROR(__xludf.DUMMYFUNCTION("""COMPUTED_VALUE"""),"SULAWESI TENGGARA")</f>
        <v>SULAWESI TENGGARA</v>
      </c>
      <c r="I94" s="7" t="str">
        <f ca="1">IFERROR(__xludf.DUMMYFUNCTION("""COMPUTED_VALUE"""),"LAUT BANDA")</f>
        <v>LAUT BANDA</v>
      </c>
      <c r="J94" s="7" t="str">
        <f ca="1">IFERROR(__xludf.DUMMYFUNCTION("""COMPUTED_VALUE"""),"TERMINAL KHUSUS")</f>
        <v>TERMINAL KHUSUS</v>
      </c>
      <c r="K94" s="7">
        <f ca="1">IFERROR(__xludf.DUMMYFUNCTION("""COMPUTED_VALUE"""),18.39)</f>
        <v>18.39</v>
      </c>
      <c r="L94" s="7" t="str">
        <f ca="1">IFERROR(__xludf.DUMMYFUNCTION("""COMPUTED_VALUE"""),"ha")</f>
        <v>ha</v>
      </c>
      <c r="M94" s="7"/>
      <c r="N94" s="7"/>
      <c r="O94" s="7" t="str">
        <f ca="1">IFERROR(__xludf.DUMMYFUNCTION("""COMPUTED_VALUE"""),"11012410517400005")</f>
        <v>11012410517400005</v>
      </c>
      <c r="P94" s="8">
        <f ca="1">IFERROR(__xludf.DUMMYFUNCTION("""COMPUTED_VALUE"""),45302)</f>
        <v>45302</v>
      </c>
      <c r="Q94" s="8">
        <f ca="1">IFERROR(__xludf.DUMMYFUNCTION("""COMPUTED_VALUE"""),45700)</f>
        <v>45700</v>
      </c>
      <c r="R94" s="7" t="str">
        <f ca="1">IFERROR(__xludf.DUMMYFUNCTION("""COMPUTED_VALUE"""),"Terlambat")</f>
        <v>Terlambat</v>
      </c>
      <c r="S94" s="7"/>
      <c r="T94" s="7"/>
      <c r="U94" s="7"/>
      <c r="V94" s="7"/>
      <c r="W94" s="7"/>
      <c r="X94" s="7"/>
      <c r="Y94" s="7"/>
      <c r="Z94" s="7"/>
      <c r="AA94" s="7" t="str">
        <f ca="1">IFERROR(__xludf.DUMMYFUNCTION("""COMPUTED_VALUE"""),"SP1")</f>
        <v>SP1</v>
      </c>
      <c r="AB94" s="9" t="str">
        <f ca="1">IFERROR(__xludf.DUMMYFUNCTION("""COMPUTED_VALUE"""),"LAPORAN 1 TERLAMBAT")</f>
        <v>LAPORAN 1 TERLAMBAT</v>
      </c>
      <c r="AC94" s="9"/>
      <c r="AD94" s="9"/>
      <c r="AE94" s="11"/>
      <c r="AF94" s="7" t="str">
        <f ca="1">IFERROR(__xludf.DUMMYFUNCTION("""COMPUTED_VALUE"""),"BITUNG")</f>
        <v>BITUNG</v>
      </c>
      <c r="AG94" s="8"/>
      <c r="AH94" s="7"/>
      <c r="AI94" s="7"/>
      <c r="AJ94" s="7"/>
      <c r="AK94" s="6"/>
      <c r="AL94" s="6"/>
      <c r="AM94" s="6"/>
      <c r="AN94" s="6"/>
      <c r="AO94" s="6"/>
    </row>
    <row r="95" spans="1:41" ht="50.5" x14ac:dyDescent="0.3">
      <c r="A95" s="7">
        <f ca="1">IFERROR(__xludf.DUMMYFUNCTION("""COMPUTED_VALUE"""),1434)</f>
        <v>1434</v>
      </c>
      <c r="B95" s="7" t="str">
        <f ca="1">IFERROR(__xludf.DUMMYFUNCTION("""COMPUTED_VALUE"""),"24.13.00011")</f>
        <v>24.13.00011</v>
      </c>
      <c r="C95" s="7" t="str">
        <f ca="1">IFERROR(__xludf.DUMMYFUNCTION("""COMPUTED_VALUE"""),"PT NUSAJAYA PERSADATAMA MANDIRI")</f>
        <v>PT NUSAJAYA PERSADATAMA MANDIRI</v>
      </c>
      <c r="D95" s="7" t="str">
        <f ca="1">IFERROR(__xludf.DUMMYFUNCTION("""COMPUTED_VALUE"""),"085692055306/legal@aserranpm.com")</f>
        <v>085692055306/legal@aserranpm.com</v>
      </c>
      <c r="E95" s="7" t="str">
        <f ca="1">IFERROR(__xludf.DUMMYFUNCTION("""COMPUTED_VALUE"""),"GEDUNG OFFICE 8 LT. 21 UNIT E-F SCBD LOT. 28, JL. JENDERAL SUDIRMAN KAV. 52-53, KELURAHAN SENAYAN, KECAMATAN KEBAYORAN BARU, KOTA JAKARTA SELATAN, PROVINSI DKI JAKARTA")</f>
        <v>GEDUNG OFFICE 8 LT. 21 UNIT E-F SCBD LOT. 28, JL. JENDERAL SUDIRMAN KAV. 52-53, KELURAHAN SENAYAN, KECAMATAN KEBAYORAN BARU, KOTA JAKARTA SELATAN, PROVINSI DKI JAKARTA</v>
      </c>
      <c r="F95" s="7" t="str">
        <f ca="1">IFERROR(__xludf.DUMMYFUNCTION("""COMPUTED_VALUE"""),"PERSETUJUAN")</f>
        <v>PERSETUJUAN</v>
      </c>
      <c r="G95" s="7" t="str">
        <f ca="1">IFERROR(__xludf.DUMMYFUNCTION("""COMPUTED_VALUE"""),"BERUSAHA")</f>
        <v>BERUSAHA</v>
      </c>
      <c r="H95" s="7" t="str">
        <f ca="1">IFERROR(__xludf.DUMMYFUNCTION("""COMPUTED_VALUE"""),"SULAWESI TENGAH")</f>
        <v>SULAWESI TENGAH</v>
      </c>
      <c r="I95" s="7" t="str">
        <f ca="1">IFERROR(__xludf.DUMMYFUNCTION("""COMPUTED_VALUE"""),"LAUT BANDA")</f>
        <v>LAUT BANDA</v>
      </c>
      <c r="J95" s="7" t="str">
        <f ca="1">IFERROR(__xludf.DUMMYFUNCTION("""COMPUTED_VALUE"""),"TERMINAL KHUSUS")</f>
        <v>TERMINAL KHUSUS</v>
      </c>
      <c r="K95" s="7">
        <f ca="1">IFERROR(__xludf.DUMMYFUNCTION("""COMPUTED_VALUE"""),27.58)</f>
        <v>27.58</v>
      </c>
      <c r="L95" s="7" t="str">
        <f ca="1">IFERROR(__xludf.DUMMYFUNCTION("""COMPUTED_VALUE"""),"ha")</f>
        <v>ha</v>
      </c>
      <c r="M95" s="7"/>
      <c r="N95" s="7"/>
      <c r="O95" s="7" t="str">
        <f ca="1">IFERROR(__xludf.DUMMYFUNCTION("""COMPUTED_VALUE"""),"15012410517200006")</f>
        <v>15012410517200006</v>
      </c>
      <c r="P95" s="8">
        <f ca="1">IFERROR(__xludf.DUMMYFUNCTION("""COMPUTED_VALUE"""),45306)</f>
        <v>45306</v>
      </c>
      <c r="Q95" s="8"/>
      <c r="R95" s="7" t="str">
        <f ca="1">IFERROR(__xludf.DUMMYFUNCTION("""COMPUTED_VALUE"""),"Tidak Menyampaikan Laporan")</f>
        <v>Tidak Menyampaikan Laporan</v>
      </c>
      <c r="S95" s="7"/>
      <c r="T95" s="7"/>
      <c r="U95" s="7"/>
      <c r="V95" s="7"/>
      <c r="W95" s="7"/>
      <c r="X95" s="7"/>
      <c r="Y95" s="7"/>
      <c r="Z95" s="7"/>
      <c r="AA95" s="7" t="str">
        <f ca="1">IFERROR(__xludf.DUMMYFUNCTION("""COMPUTED_VALUE"""),"SP1")</f>
        <v>SP1</v>
      </c>
      <c r="AB95" s="9" t="str">
        <f ca="1">IFERROR(__xludf.DUMMYFUNCTION("""COMPUTED_VALUE"""),"TIDAK MENYAMPAIKAN LAPORAN 1")</f>
        <v>TIDAK MENYAMPAIKAN LAPORAN 1</v>
      </c>
      <c r="AC95" s="9"/>
      <c r="AD95" s="9"/>
      <c r="AE95" s="11"/>
      <c r="AF95" s="7" t="str">
        <f ca="1">IFERROR(__xludf.DUMMYFUNCTION("""COMPUTED_VALUE"""),"BITUNG")</f>
        <v>BITUNG</v>
      </c>
      <c r="AG95" s="8"/>
      <c r="AH95" s="7"/>
      <c r="AI95" s="7"/>
      <c r="AJ95" s="7"/>
      <c r="AK95" s="6"/>
      <c r="AL95" s="6"/>
      <c r="AM95" s="6"/>
      <c r="AN95" s="6"/>
      <c r="AO95" s="6"/>
    </row>
    <row r="96" spans="1:41" ht="50.5" x14ac:dyDescent="0.3">
      <c r="A96" s="7">
        <f ca="1">IFERROR(__xludf.DUMMYFUNCTION("""COMPUTED_VALUE"""),1446)</f>
        <v>1446</v>
      </c>
      <c r="B96" s="7" t="str">
        <f ca="1">IFERROR(__xludf.DUMMYFUNCTION("""COMPUTED_VALUE"""),"24.13.00029")</f>
        <v>24.13.00029</v>
      </c>
      <c r="C96" s="7" t="str">
        <f ca="1">IFERROR(__xludf.DUMMYFUNCTION("""COMPUTED_VALUE"""),"PT GOSYEN GLOBAL AQUACULTURE")</f>
        <v>PT GOSYEN GLOBAL AQUACULTURE</v>
      </c>
      <c r="D96" s="7" t="str">
        <f ca="1">IFERROR(__xludf.DUMMYFUNCTION("""COMPUTED_VALUE"""),"081319851122/tiara.gosyen@gmail.com")</f>
        <v>081319851122/tiara.gosyen@gmail.com</v>
      </c>
      <c r="E96" s="7" t="str">
        <f ca="1">IFERROR(__xludf.DUMMYFUNCTION("""COMPUTED_VALUE"""),"JL. JIMBARAN 3A NO. 5, PERUMAHAN DAAN MOGOT BARU, KELURAHAN KALIDERES, KECAMATAN KALIDERES, KOTA JAKARTA BARAT, PROVINSI DKI JAKARTA")</f>
        <v>JL. JIMBARAN 3A NO. 5, PERUMAHAN DAAN MOGOT BARU, KELURAHAN KALIDERES, KECAMATAN KALIDERES, KOTA JAKARTA BARAT, PROVINSI DKI JAKARTA</v>
      </c>
      <c r="F96" s="7" t="str">
        <f ca="1">IFERROR(__xludf.DUMMYFUNCTION("""COMPUTED_VALUE"""),"PERSETUJUAN")</f>
        <v>PERSETUJUAN</v>
      </c>
      <c r="G96" s="7" t="str">
        <f ca="1">IFERROR(__xludf.DUMMYFUNCTION("""COMPUTED_VALUE"""),"BERUSAHA")</f>
        <v>BERUSAHA</v>
      </c>
      <c r="H96" s="7" t="str">
        <f ca="1">IFERROR(__xludf.DUMMYFUNCTION("""COMPUTED_VALUE"""),"SULAWESI SELATAN")</f>
        <v>SULAWESI SELATAN</v>
      </c>
      <c r="I96" s="7" t="str">
        <f ca="1">IFERROR(__xludf.DUMMYFUNCTION("""COMPUTED_VALUE"""),"LAUT FLORES")</f>
        <v>LAUT FLORES</v>
      </c>
      <c r="J96" s="7" t="str">
        <f ca="1">IFERROR(__xludf.DUMMYFUNCTION("""COMPUTED_VALUE"""),"PEMASANGAN INSTALASI PERIKANAN")</f>
        <v>PEMASANGAN INSTALASI PERIKANAN</v>
      </c>
      <c r="K96" s="7">
        <f ca="1">IFERROR(__xludf.DUMMYFUNCTION("""COMPUTED_VALUE"""),0.35)</f>
        <v>0.35</v>
      </c>
      <c r="L96" s="7" t="str">
        <f ca="1">IFERROR(__xludf.DUMMYFUNCTION("""COMPUTED_VALUE"""),"ha")</f>
        <v>ha</v>
      </c>
      <c r="M96" s="7"/>
      <c r="N96" s="7"/>
      <c r="O96" s="7" t="str">
        <f ca="1">IFERROR(__xludf.DUMMYFUNCTION("""COMPUTED_VALUE"""),"19012410517300025")</f>
        <v>19012410517300025</v>
      </c>
      <c r="P96" s="8">
        <f ca="1">IFERROR(__xludf.DUMMYFUNCTION("""COMPUTED_VALUE"""),45310)</f>
        <v>45310</v>
      </c>
      <c r="Q96" s="7"/>
      <c r="R96" s="7" t="str">
        <f ca="1">IFERROR(__xludf.DUMMYFUNCTION("""COMPUTED_VALUE"""),"Tidak Menyampaikan Laporan")</f>
        <v>Tidak Menyampaikan Laporan</v>
      </c>
      <c r="S96" s="7"/>
      <c r="T96" s="7"/>
      <c r="U96" s="7"/>
      <c r="V96" s="7"/>
      <c r="W96" s="7"/>
      <c r="X96" s="7"/>
      <c r="Y96" s="7"/>
      <c r="Z96" s="7"/>
      <c r="AA96" s="7" t="str">
        <f ca="1">IFERROR(__xludf.DUMMYFUNCTION("""COMPUTED_VALUE"""),"SP1")</f>
        <v>SP1</v>
      </c>
      <c r="AB96" s="9" t="str">
        <f ca="1">IFERROR(__xludf.DUMMYFUNCTION("""COMPUTED_VALUE"""),"TIDAK MENYAMPAIKAN LAPORAN 1")</f>
        <v>TIDAK MENYAMPAIKAN LAPORAN 1</v>
      </c>
      <c r="AC96" s="9"/>
      <c r="AD96" s="9"/>
      <c r="AE96" s="9"/>
      <c r="AF96" s="7" t="str">
        <f ca="1">IFERROR(__xludf.DUMMYFUNCTION("""COMPUTED_VALUE"""),"BITUNG")</f>
        <v>BITUNG</v>
      </c>
      <c r="AG96" s="7"/>
      <c r="AH96" s="7"/>
      <c r="AI96" s="7"/>
      <c r="AJ96" s="7"/>
      <c r="AK96" s="6"/>
      <c r="AL96" s="6"/>
      <c r="AM96" s="6"/>
      <c r="AN96" s="6"/>
      <c r="AO96" s="6"/>
    </row>
    <row r="97" spans="1:41" ht="50.5" x14ac:dyDescent="0.3">
      <c r="A97" s="7">
        <f ca="1">IFERROR(__xludf.DUMMYFUNCTION("""COMPUTED_VALUE"""),1455)</f>
        <v>1455</v>
      </c>
      <c r="B97" s="7" t="str">
        <f ca="1">IFERROR(__xludf.DUMMYFUNCTION("""COMPUTED_VALUE"""),"24.13.00047")</f>
        <v>24.13.00047</v>
      </c>
      <c r="C97" s="7" t="str">
        <f ca="1">IFERROR(__xludf.DUMMYFUNCTION("""COMPUTED_VALUE"""),"PT SELARAS INDOMINERAL PRATAMA")</f>
        <v>PT SELARAS INDOMINERAL PRATAMA</v>
      </c>
      <c r="D97" s="7" t="str">
        <f ca="1">IFERROR(__xludf.DUMMYFUNCTION("""COMPUTED_VALUE"""),"085242111124/selaras.ip@gmail.com")</f>
        <v>085242111124/selaras.ip@gmail.com</v>
      </c>
      <c r="E97" s="7" t="str">
        <f ca="1">IFERROR(__xludf.DUMMYFUNCTION("""COMPUTED_VALUE"""),"APL TOWER - CENTRAL PARK LT. 39 UNIT T7, JL. LETJEN S PARMAN KAV. 28, KELURAHAN TANJUNG DUREN SELATAN, KECAMATAN GROGOL PETAMBURAN, KOTA JAKARTA BARAT, PROVINSI DKI JAKARTA")</f>
        <v>APL TOWER - CENTRAL PARK LT. 39 UNIT T7, JL. LETJEN S PARMAN KAV. 28, KELURAHAN TANJUNG DUREN SELATAN, KECAMATAN GROGOL PETAMBURAN, KOTA JAKARTA BARAT, PROVINSI DKI JAKARTA</v>
      </c>
      <c r="F97" s="7" t="str">
        <f ca="1">IFERROR(__xludf.DUMMYFUNCTION("""COMPUTED_VALUE"""),"PERSETUJUAN")</f>
        <v>PERSETUJUAN</v>
      </c>
      <c r="G97" s="7" t="str">
        <f ca="1">IFERROR(__xludf.DUMMYFUNCTION("""COMPUTED_VALUE"""),"BERUSAHA")</f>
        <v>BERUSAHA</v>
      </c>
      <c r="H97" s="7" t="str">
        <f ca="1">IFERROR(__xludf.DUMMYFUNCTION("""COMPUTED_VALUE"""),"SULAWESI TENGAH")</f>
        <v>SULAWESI TENGAH</v>
      </c>
      <c r="I97" s="7" t="str">
        <f ca="1">IFERROR(__xludf.DUMMYFUNCTION("""COMPUTED_VALUE"""),"TELUK TOMINI")</f>
        <v>TELUK TOMINI</v>
      </c>
      <c r="J97" s="7" t="str">
        <f ca="1">IFERROR(__xludf.DUMMYFUNCTION("""COMPUTED_VALUE"""),"PEMBANGUNAN TERMINAL KHUSUS")</f>
        <v>PEMBANGUNAN TERMINAL KHUSUS</v>
      </c>
      <c r="K97" s="7">
        <f ca="1">IFERROR(__xludf.DUMMYFUNCTION("""COMPUTED_VALUE"""),3.08)</f>
        <v>3.08</v>
      </c>
      <c r="L97" s="7" t="str">
        <f ca="1">IFERROR(__xludf.DUMMYFUNCTION("""COMPUTED_VALUE"""),"ha")</f>
        <v>ha</v>
      </c>
      <c r="M97" s="7"/>
      <c r="N97" s="7"/>
      <c r="O97" s="7" t="str">
        <f ca="1">IFERROR(__xludf.DUMMYFUNCTION("""COMPUTED_VALUE"""),"23012410517200007")</f>
        <v>23012410517200007</v>
      </c>
      <c r="P97" s="8">
        <f ca="1">IFERROR(__xludf.DUMMYFUNCTION("""COMPUTED_VALUE"""),45314)</f>
        <v>45314</v>
      </c>
      <c r="Q97" s="7"/>
      <c r="R97" s="7" t="str">
        <f ca="1">IFERROR(__xludf.DUMMYFUNCTION("""COMPUTED_VALUE"""),"Tidak Menyampaikan Laporan")</f>
        <v>Tidak Menyampaikan Laporan</v>
      </c>
      <c r="S97" s="7"/>
      <c r="T97" s="7"/>
      <c r="U97" s="7"/>
      <c r="V97" s="7"/>
      <c r="W97" s="7"/>
      <c r="X97" s="7"/>
      <c r="Y97" s="7"/>
      <c r="Z97" s="7"/>
      <c r="AA97" s="7" t="str">
        <f ca="1">IFERROR(__xludf.DUMMYFUNCTION("""COMPUTED_VALUE"""),"SP1")</f>
        <v>SP1</v>
      </c>
      <c r="AB97" s="9" t="str">
        <f ca="1">IFERROR(__xludf.DUMMYFUNCTION("""COMPUTED_VALUE"""),"TIDAK MENYAMPAIKAN LAPORAN 1")</f>
        <v>TIDAK MENYAMPAIKAN LAPORAN 1</v>
      </c>
      <c r="AC97" s="9"/>
      <c r="AD97" s="9"/>
      <c r="AE97" s="9"/>
      <c r="AF97" s="7" t="str">
        <f ca="1">IFERROR(__xludf.DUMMYFUNCTION("""COMPUTED_VALUE"""),"BITUNG")</f>
        <v>BITUNG</v>
      </c>
      <c r="AG97" s="7"/>
      <c r="AH97" s="7"/>
      <c r="AI97" s="7"/>
      <c r="AJ97" s="7"/>
      <c r="AK97" s="6"/>
      <c r="AL97" s="6"/>
      <c r="AM97" s="6"/>
      <c r="AN97" s="6"/>
      <c r="AO97" s="6"/>
    </row>
    <row r="98" spans="1:41" ht="25.5" x14ac:dyDescent="0.3">
      <c r="A98" s="7">
        <f ca="1">IFERROR(__xludf.DUMMYFUNCTION("""COMPUTED_VALUE"""),1461)</f>
        <v>1461</v>
      </c>
      <c r="B98" s="7" t="str">
        <f ca="1">IFERROR(__xludf.DUMMYFUNCTION("""COMPUTED_VALUE"""),"24.13.00048")</f>
        <v>24.13.00048</v>
      </c>
      <c r="C98" s="7" t="str">
        <f ca="1">IFERROR(__xludf.DUMMYFUNCTION("""COMPUTED_VALUE"""),"PT QARIM JAYA MOROWALI")</f>
        <v>PT QARIM JAYA MOROWALI</v>
      </c>
      <c r="D98" s="7" t="str">
        <f ca="1">IFERROR(__xludf.DUMMYFUNCTION("""COMPUTED_VALUE"""),"082259400083/iksanqarim@gmail.com")</f>
        <v>082259400083/iksanqarim@gmail.com</v>
      </c>
      <c r="E98" s="7" t="str">
        <f ca="1">IFERROR(__xludf.DUMMYFUNCTION("""COMPUTED_VALUE"""),"DESA LABOTA, KECAMATAN BAHODOPI, KABUPATEN MOROWALI, PROVINSI SULAWESI TENGAH")</f>
        <v>DESA LABOTA, KECAMATAN BAHODOPI, KABUPATEN MOROWALI, PROVINSI SULAWESI TENGAH</v>
      </c>
      <c r="F98" s="7" t="str">
        <f ca="1">IFERROR(__xludf.DUMMYFUNCTION("""COMPUTED_VALUE"""),"PERSETUJUAN")</f>
        <v>PERSETUJUAN</v>
      </c>
      <c r="G98" s="7" t="str">
        <f ca="1">IFERROR(__xludf.DUMMYFUNCTION("""COMPUTED_VALUE"""),"BERUSAHA")</f>
        <v>BERUSAHA</v>
      </c>
      <c r="H98" s="7" t="str">
        <f ca="1">IFERROR(__xludf.DUMMYFUNCTION("""COMPUTED_VALUE"""),"SULAWESI TENGAH")</f>
        <v>SULAWESI TENGAH</v>
      </c>
      <c r="I98" s="7" t="str">
        <f ca="1">IFERROR(__xludf.DUMMYFUNCTION("""COMPUTED_VALUE"""),"LAUT BANDA")</f>
        <v>LAUT BANDA</v>
      </c>
      <c r="J98" s="7" t="str">
        <f ca="1">IFERROR(__xludf.DUMMYFUNCTION("""COMPUTED_VALUE"""),"AREA SANDAR KAPAL")</f>
        <v>AREA SANDAR KAPAL</v>
      </c>
      <c r="K98" s="7">
        <f ca="1">IFERROR(__xludf.DUMMYFUNCTION("""COMPUTED_VALUE"""),10)</f>
        <v>10</v>
      </c>
      <c r="L98" s="7" t="str">
        <f ca="1">IFERROR(__xludf.DUMMYFUNCTION("""COMPUTED_VALUE"""),"ha")</f>
        <v>ha</v>
      </c>
      <c r="M98" s="7"/>
      <c r="N98" s="7"/>
      <c r="O98" s="7" t="str">
        <f ca="1">IFERROR(__xludf.DUMMYFUNCTION("""COMPUTED_VALUE"""),"24012410517200001")</f>
        <v>24012410517200001</v>
      </c>
      <c r="P98" s="8">
        <f ca="1">IFERROR(__xludf.DUMMYFUNCTION("""COMPUTED_VALUE"""),45315)</f>
        <v>45315</v>
      </c>
      <c r="Q98" s="8">
        <f ca="1">IFERROR(__xludf.DUMMYFUNCTION("""COMPUTED_VALUE"""),45710)</f>
        <v>45710</v>
      </c>
      <c r="R98" s="7" t="str">
        <f ca="1">IFERROR(__xludf.DUMMYFUNCTION("""COMPUTED_VALUE"""),"Terlambat")</f>
        <v>Terlambat</v>
      </c>
      <c r="S98" s="7"/>
      <c r="T98" s="7"/>
      <c r="U98" s="7"/>
      <c r="V98" s="7"/>
      <c r="W98" s="7"/>
      <c r="X98" s="7"/>
      <c r="Y98" s="7"/>
      <c r="Z98" s="7"/>
      <c r="AA98" s="7" t="str">
        <f ca="1">IFERROR(__xludf.DUMMYFUNCTION("""COMPUTED_VALUE"""),"SP1")</f>
        <v>SP1</v>
      </c>
      <c r="AB98" s="9" t="str">
        <f ca="1">IFERROR(__xludf.DUMMYFUNCTION("""COMPUTED_VALUE"""),"LAPORAN 1 TERLAMBAT")</f>
        <v>LAPORAN 1 TERLAMBAT</v>
      </c>
      <c r="AC98" s="9"/>
      <c r="AD98" s="9"/>
      <c r="AE98" s="11"/>
      <c r="AF98" s="7" t="str">
        <f ca="1">IFERROR(__xludf.DUMMYFUNCTION("""COMPUTED_VALUE"""),"BITUNG")</f>
        <v>BITUNG</v>
      </c>
      <c r="AG98" s="8"/>
      <c r="AH98" s="7"/>
      <c r="AI98" s="7"/>
      <c r="AJ98" s="7"/>
      <c r="AK98" s="6"/>
      <c r="AL98" s="6"/>
      <c r="AM98" s="6"/>
      <c r="AN98" s="6"/>
      <c r="AO98" s="6"/>
    </row>
    <row r="99" spans="1:41" ht="50.5" x14ac:dyDescent="0.3">
      <c r="A99" s="7">
        <f ca="1">IFERROR(__xludf.DUMMYFUNCTION("""COMPUTED_VALUE"""),1479)</f>
        <v>1479</v>
      </c>
      <c r="B99" s="7" t="str">
        <f ca="1">IFERROR(__xludf.DUMMYFUNCTION("""COMPUTED_VALUE"""),"23.13.00600")</f>
        <v>23.13.00600</v>
      </c>
      <c r="C99" s="7" t="str">
        <f ca="1">IFERROR(__xludf.DUMMYFUNCTION("""COMPUTED_VALUE"""),"PT STARGATE PASIFIC RESOURCES")</f>
        <v>PT STARGATE PASIFIC RESOURCES</v>
      </c>
      <c r="D99" s="7" t="str">
        <f ca="1">IFERROR(__xludf.DUMMYFUNCTION("""COMPUTED_VALUE"""),"02129037688/wahyuindra@aspire.id")</f>
        <v>02129037688/wahyuindra@aspire.id</v>
      </c>
      <c r="E99" s="7" t="str">
        <f ca="1">IFERROR(__xludf.DUMMYFUNCTION("""COMPUTED_VALUE"""),"EQUITY TOWER LT. 19 UNIT E SCBD LOT 9, JL. JENDERAL SUDIRMAN KAV. 52-53, KELURAHAN SENAYAN, KECAMATAN KEBAYORAN BARU, KOTA JAKARTA SELATAN, PROVINSI DKI JAKARTA")</f>
        <v>EQUITY TOWER LT. 19 UNIT E SCBD LOT 9, JL. JENDERAL SUDIRMAN KAV. 52-53, KELURAHAN SENAYAN, KECAMATAN KEBAYORAN BARU, KOTA JAKARTA SELATAN, PROVINSI DKI JAKARTA</v>
      </c>
      <c r="F99" s="7" t="str">
        <f ca="1">IFERROR(__xludf.DUMMYFUNCTION("""COMPUTED_VALUE"""),"PERSETUJUAN")</f>
        <v>PERSETUJUAN</v>
      </c>
      <c r="G99" s="7" t="str">
        <f ca="1">IFERROR(__xludf.DUMMYFUNCTION("""COMPUTED_VALUE"""),"BERUSAHA")</f>
        <v>BERUSAHA</v>
      </c>
      <c r="H99" s="7" t="str">
        <f ca="1">IFERROR(__xludf.DUMMYFUNCTION("""COMPUTED_VALUE"""),"SULAWESI TENGGARA")</f>
        <v>SULAWESI TENGGARA</v>
      </c>
      <c r="I99" s="7" t="str">
        <f ca="1">IFERROR(__xludf.DUMMYFUNCTION("""COMPUTED_VALUE"""),"LAUT BANDA")</f>
        <v>LAUT BANDA</v>
      </c>
      <c r="J99" s="7" t="str">
        <f ca="1">IFERROR(__xludf.DUMMYFUNCTION("""COMPUTED_VALUE"""),"PENGEMBANGAN TERMINAL KHUSUS DESA MOLORE")</f>
        <v>PENGEMBANGAN TERMINAL KHUSUS DESA MOLORE</v>
      </c>
      <c r="K99" s="7">
        <f ca="1">IFERROR(__xludf.DUMMYFUNCTION("""COMPUTED_VALUE"""),11.6)</f>
        <v>11.6</v>
      </c>
      <c r="L99" s="7" t="str">
        <f ca="1">IFERROR(__xludf.DUMMYFUNCTION("""COMPUTED_VALUE"""),"ha")</f>
        <v>ha</v>
      </c>
      <c r="M99" s="7"/>
      <c r="N99" s="7"/>
      <c r="O99" s="7" t="str">
        <f ca="1">IFERROR(__xludf.DUMMYFUNCTION("""COMPUTED_VALUE"""),"29012410517400007")</f>
        <v>29012410517400007</v>
      </c>
      <c r="P99" s="8">
        <f ca="1">IFERROR(__xludf.DUMMYFUNCTION("""COMPUTED_VALUE"""),45320)</f>
        <v>45320</v>
      </c>
      <c r="Q99" s="7"/>
      <c r="R99" s="7" t="str">
        <f ca="1">IFERROR(__xludf.DUMMYFUNCTION("""COMPUTED_VALUE"""),"Tidak Menyampaikan Laporan")</f>
        <v>Tidak Menyampaikan Laporan</v>
      </c>
      <c r="S99" s="7"/>
      <c r="T99" s="7"/>
      <c r="U99" s="7"/>
      <c r="V99" s="7"/>
      <c r="W99" s="7"/>
      <c r="X99" s="7"/>
      <c r="Y99" s="7"/>
      <c r="Z99" s="7"/>
      <c r="AA99" s="7" t="str">
        <f ca="1">IFERROR(__xludf.DUMMYFUNCTION("""COMPUTED_VALUE"""),"SP1")</f>
        <v>SP1</v>
      </c>
      <c r="AB99" s="9" t="str">
        <f ca="1">IFERROR(__xludf.DUMMYFUNCTION("""COMPUTED_VALUE"""),"TIDAK MENYAMPAIKAN LAPORAN 1")</f>
        <v>TIDAK MENYAMPAIKAN LAPORAN 1</v>
      </c>
      <c r="AC99" s="9"/>
      <c r="AD99" s="9"/>
      <c r="AE99" s="9"/>
      <c r="AF99" s="7" t="str">
        <f ca="1">IFERROR(__xludf.DUMMYFUNCTION("""COMPUTED_VALUE"""),"BITUNG")</f>
        <v>BITUNG</v>
      </c>
      <c r="AG99" s="7"/>
      <c r="AH99" s="7"/>
      <c r="AI99" s="7"/>
      <c r="AJ99" s="7"/>
      <c r="AK99" s="6"/>
      <c r="AL99" s="6"/>
      <c r="AM99" s="6"/>
      <c r="AN99" s="6"/>
      <c r="AO99" s="6"/>
    </row>
    <row r="100" spans="1:41" ht="50.5" x14ac:dyDescent="0.3">
      <c r="A100" s="7">
        <f ca="1">IFERROR(__xludf.DUMMYFUNCTION("""COMPUTED_VALUE"""),1480)</f>
        <v>1480</v>
      </c>
      <c r="B100" s="7" t="str">
        <f ca="1">IFERROR(__xludf.DUMMYFUNCTION("""COMPUTED_VALUE"""),"23.13.00601")</f>
        <v>23.13.00601</v>
      </c>
      <c r="C100" s="7" t="str">
        <f ca="1">IFERROR(__xludf.DUMMYFUNCTION("""COMPUTED_VALUE"""),"PT STARGATE PASIFIC RESOURCES")</f>
        <v>PT STARGATE PASIFIC RESOURCES</v>
      </c>
      <c r="D100" s="7" t="str">
        <f ca="1">IFERROR(__xludf.DUMMYFUNCTION("""COMPUTED_VALUE"""),"02129037688/wahyuindra@aspire.id")</f>
        <v>02129037688/wahyuindra@aspire.id</v>
      </c>
      <c r="E100" s="7" t="str">
        <f ca="1">IFERROR(__xludf.DUMMYFUNCTION("""COMPUTED_VALUE"""),"EQUITY TOWER LT. 19 UNIT E SCBD LOT 9, JL. JENDERAL SUDIRMAN KAV. 52-53, KELURAHAN SENAYAN, KECAMATAN KEBAYORAN BARU, KOTA JAKARTA SELATAN, PROVINSI DKI JAKARTA")</f>
        <v>EQUITY TOWER LT. 19 UNIT E SCBD LOT 9, JL. JENDERAL SUDIRMAN KAV. 52-53, KELURAHAN SENAYAN, KECAMATAN KEBAYORAN BARU, KOTA JAKARTA SELATAN, PROVINSI DKI JAKARTA</v>
      </c>
      <c r="F100" s="7" t="str">
        <f ca="1">IFERROR(__xludf.DUMMYFUNCTION("""COMPUTED_VALUE"""),"PERSETUJUAN")</f>
        <v>PERSETUJUAN</v>
      </c>
      <c r="G100" s="7" t="str">
        <f ca="1">IFERROR(__xludf.DUMMYFUNCTION("""COMPUTED_VALUE"""),"BERUSAHA")</f>
        <v>BERUSAHA</v>
      </c>
      <c r="H100" s="7" t="str">
        <f ca="1">IFERROR(__xludf.DUMMYFUNCTION("""COMPUTED_VALUE"""),"SULAWESI TENGGARA")</f>
        <v>SULAWESI TENGGARA</v>
      </c>
      <c r="I100" s="7" t="str">
        <f ca="1">IFERROR(__xludf.DUMMYFUNCTION("""COMPUTED_VALUE"""),"LAUT BANDA")</f>
        <v>LAUT BANDA</v>
      </c>
      <c r="J100" s="7" t="str">
        <f ca="1">IFERROR(__xludf.DUMMYFUNCTION("""COMPUTED_VALUE"""),"PENGEMBANGAN TERMINAL KHUSUS DESA LAMERURU")</f>
        <v>PENGEMBANGAN TERMINAL KHUSUS DESA LAMERURU</v>
      </c>
      <c r="K100" s="7">
        <f ca="1">IFERROR(__xludf.DUMMYFUNCTION("""COMPUTED_VALUE"""),27.84)</f>
        <v>27.84</v>
      </c>
      <c r="L100" s="7" t="str">
        <f ca="1">IFERROR(__xludf.DUMMYFUNCTION("""COMPUTED_VALUE"""),"ha")</f>
        <v>ha</v>
      </c>
      <c r="M100" s="7"/>
      <c r="N100" s="7"/>
      <c r="O100" s="7" t="str">
        <f ca="1">IFERROR(__xludf.DUMMYFUNCTION("""COMPUTED_VALUE"""),"29012410517400006")</f>
        <v>29012410517400006</v>
      </c>
      <c r="P100" s="8">
        <f ca="1">IFERROR(__xludf.DUMMYFUNCTION("""COMPUTED_VALUE"""),45320)</f>
        <v>45320</v>
      </c>
      <c r="Q100" s="8"/>
      <c r="R100" s="7" t="str">
        <f ca="1">IFERROR(__xludf.DUMMYFUNCTION("""COMPUTED_VALUE"""),"Tidak Menyampaikan Laporan")</f>
        <v>Tidak Menyampaikan Laporan</v>
      </c>
      <c r="S100" s="7"/>
      <c r="T100" s="7"/>
      <c r="U100" s="7"/>
      <c r="V100" s="7"/>
      <c r="W100" s="7"/>
      <c r="X100" s="7"/>
      <c r="Y100" s="7"/>
      <c r="Z100" s="7"/>
      <c r="AA100" s="7" t="str">
        <f ca="1">IFERROR(__xludf.DUMMYFUNCTION("""COMPUTED_VALUE"""),"SP1")</f>
        <v>SP1</v>
      </c>
      <c r="AB100" s="9" t="str">
        <f ca="1">IFERROR(__xludf.DUMMYFUNCTION("""COMPUTED_VALUE"""),"TIDAK MENYAMPAIKAN LAPORAN 1")</f>
        <v>TIDAK MENYAMPAIKAN LAPORAN 1</v>
      </c>
      <c r="AC100" s="9"/>
      <c r="AD100" s="9"/>
      <c r="AE100" s="11"/>
      <c r="AF100" s="7" t="str">
        <f ca="1">IFERROR(__xludf.DUMMYFUNCTION("""COMPUTED_VALUE"""),"BITUNG")</f>
        <v>BITUNG</v>
      </c>
      <c r="AG100" s="8"/>
      <c r="AH100" s="7"/>
      <c r="AI100" s="7"/>
      <c r="AJ100" s="7"/>
      <c r="AK100" s="6"/>
      <c r="AL100" s="6"/>
      <c r="AM100" s="6"/>
      <c r="AN100" s="6"/>
      <c r="AO100" s="6"/>
    </row>
    <row r="101" spans="1:41" ht="50.5" x14ac:dyDescent="0.3">
      <c r="A101" s="7">
        <f ca="1">IFERROR(__xludf.DUMMYFUNCTION("""COMPUTED_VALUE"""),1493)</f>
        <v>1493</v>
      </c>
      <c r="B101" s="7" t="str">
        <f ca="1">IFERROR(__xludf.DUMMYFUNCTION("""COMPUTED_VALUE"""),"24.13.00044")</f>
        <v>24.13.00044</v>
      </c>
      <c r="C101" s="7" t="str">
        <f ca="1">IFERROR(__xludf.DUMMYFUNCTION("""COMPUTED_VALUE"""),"PT KONINIS FAJAR MINERAL")</f>
        <v>PT KONINIS FAJAR MINERAL</v>
      </c>
      <c r="D101" s="7" t="str">
        <f ca="1">IFERROR(__xludf.DUMMYFUNCTION("""COMPUTED_VALUE"""),"0215703886/koninisfm@gmail.com")</f>
        <v>0215703886/koninisfm@gmail.com</v>
      </c>
      <c r="E101" s="7" t="str">
        <f ca="1">IFERROR(__xludf.DUMMYFUNCTION("""COMPUTED_VALUE"""),"APL TOWER - CENTRAL PARK LT. 39, JL. LETJEN S PARMAN KAV. 28, KELURAHAN TANJUNG DUREN SELATAN, KECAMATAN GROGOL PETAMBURAN, KOTA JAKARTA BARAT, PROVINSI DKI JAKARTA")</f>
        <v>APL TOWER - CENTRAL PARK LT. 39, JL. LETJEN S PARMAN KAV. 28, KELURAHAN TANJUNG DUREN SELATAN, KECAMATAN GROGOL PETAMBURAN, KOTA JAKARTA BARAT, PROVINSI DKI JAKARTA</v>
      </c>
      <c r="F101" s="7" t="str">
        <f ca="1">IFERROR(__xludf.DUMMYFUNCTION("""COMPUTED_VALUE"""),"PERSETUJUAN")</f>
        <v>PERSETUJUAN</v>
      </c>
      <c r="G101" s="7" t="str">
        <f ca="1">IFERROR(__xludf.DUMMYFUNCTION("""COMPUTED_VALUE"""),"BERUSAHA")</f>
        <v>BERUSAHA</v>
      </c>
      <c r="H101" s="7" t="str">
        <f ca="1">IFERROR(__xludf.DUMMYFUNCTION("""COMPUTED_VALUE"""),"SULAWESI TENGAH")</f>
        <v>SULAWESI TENGAH</v>
      </c>
      <c r="I101" s="7" t="str">
        <f ca="1">IFERROR(__xludf.DUMMYFUNCTION("""COMPUTED_VALUE"""),"TELUK TOMINI")</f>
        <v>TELUK TOMINI</v>
      </c>
      <c r="J101" s="7" t="str">
        <f ca="1">IFERROR(__xludf.DUMMYFUNCTION("""COMPUTED_VALUE"""),"TERMINAL KHUSUS")</f>
        <v>TERMINAL KHUSUS</v>
      </c>
      <c r="K101" s="7">
        <f ca="1">IFERROR(__xludf.DUMMYFUNCTION("""COMPUTED_VALUE"""),18.65)</f>
        <v>18.649999999999999</v>
      </c>
      <c r="L101" s="7" t="str">
        <f ca="1">IFERROR(__xludf.DUMMYFUNCTION("""COMPUTED_VALUE"""),"ha")</f>
        <v>ha</v>
      </c>
      <c r="M101" s="7"/>
      <c r="N101" s="7"/>
      <c r="O101" s="7" t="str">
        <f ca="1">IFERROR(__xludf.DUMMYFUNCTION("""COMPUTED_VALUE"""),"05022410517200002")</f>
        <v>05022410517200002</v>
      </c>
      <c r="P101" s="8">
        <f ca="1">IFERROR(__xludf.DUMMYFUNCTION("""COMPUTED_VALUE"""),45327)</f>
        <v>45327</v>
      </c>
      <c r="Q101" s="8"/>
      <c r="R101" s="7" t="str">
        <f ca="1">IFERROR(__xludf.DUMMYFUNCTION("""COMPUTED_VALUE"""),"Tidak Menyampaikan Laporan")</f>
        <v>Tidak Menyampaikan Laporan</v>
      </c>
      <c r="S101" s="7"/>
      <c r="T101" s="7"/>
      <c r="U101" s="7"/>
      <c r="V101" s="7"/>
      <c r="W101" s="7"/>
      <c r="X101" s="7"/>
      <c r="Y101" s="7"/>
      <c r="Z101" s="7"/>
      <c r="AA101" s="7" t="str">
        <f ca="1">IFERROR(__xludf.DUMMYFUNCTION("""COMPUTED_VALUE"""),"SP1")</f>
        <v>SP1</v>
      </c>
      <c r="AB101" s="9" t="str">
        <f ca="1">IFERROR(__xludf.DUMMYFUNCTION("""COMPUTED_VALUE"""),"TIDAK MENYAMPAIKAN LAPORAN 1")</f>
        <v>TIDAK MENYAMPAIKAN LAPORAN 1</v>
      </c>
      <c r="AC101" s="9"/>
      <c r="AD101" s="9"/>
      <c r="AE101" s="11"/>
      <c r="AF101" s="7" t="str">
        <f ca="1">IFERROR(__xludf.DUMMYFUNCTION("""COMPUTED_VALUE"""),"BITUNG")</f>
        <v>BITUNG</v>
      </c>
      <c r="AG101" s="8"/>
      <c r="AH101" s="7"/>
      <c r="AI101" s="7"/>
      <c r="AJ101" s="7"/>
      <c r="AK101" s="6"/>
      <c r="AL101" s="6"/>
      <c r="AM101" s="6"/>
      <c r="AN101" s="6"/>
      <c r="AO101" s="6"/>
    </row>
    <row r="102" spans="1:41" ht="50.5" x14ac:dyDescent="0.3">
      <c r="A102" s="7">
        <f ca="1">IFERROR(__xludf.DUMMYFUNCTION("""COMPUTED_VALUE"""),1525)</f>
        <v>1525</v>
      </c>
      <c r="B102" s="7" t="str">
        <f ca="1">IFERROR(__xludf.DUMMYFUNCTION("""COMPUTED_VALUE"""),"24.13.00107")</f>
        <v>24.13.00107</v>
      </c>
      <c r="C102" s="7" t="str">
        <f ca="1">IFERROR(__xludf.DUMMYFUNCTION("""COMPUTED_VALUE"""),"PT RAHMAT SIMPATI JAYA")</f>
        <v>PT RAHMAT SIMPATI JAYA</v>
      </c>
      <c r="D102" s="7" t="str">
        <f ca="1">IFERROR(__xludf.DUMMYFUNCTION("""COMPUTED_VALUE"""),"085242568759 / rahmatsimpatijayagorontalo@gmail.com")</f>
        <v>085242568759 / rahmatsimpatijayagorontalo@gmail.com</v>
      </c>
      <c r="E102" s="7" t="str">
        <f ca="1">IFERROR(__xludf.DUMMYFUNCTION("""COMPUTED_VALUE"""),"JL. PROF. DR. HB. JASSIN NO. 420, KELURAHAN PAGUYAMAN, KECAMATAN KOTA TENGAH, KOTA GORONTALO, PROVINSI GORONTALO")</f>
        <v>JL. PROF. DR. HB. JASSIN NO. 420, KELURAHAN PAGUYAMAN, KECAMATAN KOTA TENGAH, KOTA GORONTALO, PROVINSI GORONTALO</v>
      </c>
      <c r="F102" s="7" t="str">
        <f ca="1">IFERROR(__xludf.DUMMYFUNCTION("""COMPUTED_VALUE"""),"PERSETUJUAN")</f>
        <v>PERSETUJUAN</v>
      </c>
      <c r="G102" s="7" t="str">
        <f ca="1">IFERROR(__xludf.DUMMYFUNCTION("""COMPUTED_VALUE"""),"BERUSAHA")</f>
        <v>BERUSAHA</v>
      </c>
      <c r="H102" s="7" t="str">
        <f ca="1">IFERROR(__xludf.DUMMYFUNCTION("""COMPUTED_VALUE"""),"GORONTALO")</f>
        <v>GORONTALO</v>
      </c>
      <c r="I102" s="7" t="str">
        <f ca="1">IFERROR(__xludf.DUMMYFUNCTION("""COMPUTED_VALUE"""),"LAUT SULAWESI")</f>
        <v>LAUT SULAWESI</v>
      </c>
      <c r="J102" s="7" t="str">
        <f ca="1">IFERROR(__xludf.DUMMYFUNCTION("""COMPUTED_VALUE"""),"TERMINAL KHUSUS")</f>
        <v>TERMINAL KHUSUS</v>
      </c>
      <c r="K102" s="7">
        <f ca="1">IFERROR(__xludf.DUMMYFUNCTION("""COMPUTED_VALUE"""),3.5)</f>
        <v>3.5</v>
      </c>
      <c r="L102" s="7" t="str">
        <f ca="1">IFERROR(__xludf.DUMMYFUNCTION("""COMPUTED_VALUE"""),"ha")</f>
        <v>ha</v>
      </c>
      <c r="M102" s="7"/>
      <c r="N102" s="7"/>
      <c r="O102" s="7" t="str">
        <f ca="1">IFERROR(__xludf.DUMMYFUNCTION("""COMPUTED_VALUE"""),"16022410517500001")</f>
        <v>16022410517500001</v>
      </c>
      <c r="P102" s="8">
        <f ca="1">IFERROR(__xludf.DUMMYFUNCTION("""COMPUTED_VALUE"""),45338)</f>
        <v>45338</v>
      </c>
      <c r="Q102" s="7"/>
      <c r="R102" s="7" t="str">
        <f ca="1">IFERROR(__xludf.DUMMYFUNCTION("""COMPUTED_VALUE"""),"Tidak Menyampaikan Laporan")</f>
        <v>Tidak Menyampaikan Laporan</v>
      </c>
      <c r="S102" s="7"/>
      <c r="T102" s="7"/>
      <c r="U102" s="7"/>
      <c r="V102" s="7"/>
      <c r="W102" s="7"/>
      <c r="X102" s="7"/>
      <c r="Y102" s="7"/>
      <c r="Z102" s="7"/>
      <c r="AA102" s="7" t="str">
        <f ca="1">IFERROR(__xludf.DUMMYFUNCTION("""COMPUTED_VALUE"""),"SP1")</f>
        <v>SP1</v>
      </c>
      <c r="AB102" s="9" t="str">
        <f ca="1">IFERROR(__xludf.DUMMYFUNCTION("""COMPUTED_VALUE"""),"TIDAK MENYAMPAIKAN LAPORAN 1")</f>
        <v>TIDAK MENYAMPAIKAN LAPORAN 1</v>
      </c>
      <c r="AC102" s="9"/>
      <c r="AD102" s="9"/>
      <c r="AE102" s="9"/>
      <c r="AF102" s="7" t="str">
        <f ca="1">IFERROR(__xludf.DUMMYFUNCTION("""COMPUTED_VALUE"""),"BITUNG")</f>
        <v>BITUNG</v>
      </c>
      <c r="AG102" s="7"/>
      <c r="AH102" s="7"/>
      <c r="AI102" s="7"/>
      <c r="AJ102" s="7"/>
      <c r="AK102" s="6"/>
      <c r="AL102" s="6"/>
      <c r="AM102" s="6"/>
      <c r="AN102" s="6"/>
      <c r="AO102" s="6"/>
    </row>
    <row r="103" spans="1:41" ht="50.5" x14ac:dyDescent="0.3">
      <c r="A103" s="7">
        <f ca="1">IFERROR(__xludf.DUMMYFUNCTION("""COMPUTED_VALUE"""),1529)</f>
        <v>1529</v>
      </c>
      <c r="B103" s="7" t="str">
        <f ca="1">IFERROR(__xludf.DUMMYFUNCTION("""COMPUTED_VALUE"""),"24.13.00106")</f>
        <v>24.13.00106</v>
      </c>
      <c r="C103" s="7" t="str">
        <f ca="1">IFERROR(__xludf.DUMMYFUNCTION("""COMPUTED_VALUE"""),"RUSTAM SANGKALA WIJAYA")</f>
        <v>RUSTAM SANGKALA WIJAYA</v>
      </c>
      <c r="D103" s="7" t="str">
        <f ca="1">IFERROR(__xludf.DUMMYFUNCTION("""COMPUTED_VALUE"""),"082290827005 / rustamsangkala91@gmail.com")</f>
        <v>082290827005 / rustamsangkala91@gmail.com</v>
      </c>
      <c r="E103" s="7" t="str">
        <f ca="1">IFERROR(__xludf.DUMMYFUNCTION("""COMPUTED_VALUE"""),"JL. TINUMBU NO. 214, KELURAHAN LAYANG, KECAMATAN BONTOALA, KOTA MAKASSAR, PROVINSI SULAWESI SELATAN")</f>
        <v>JL. TINUMBU NO. 214, KELURAHAN LAYANG, KECAMATAN BONTOALA, KOTA MAKASSAR, PROVINSI SULAWESI SELATAN</v>
      </c>
      <c r="F103" s="7" t="str">
        <f ca="1">IFERROR(__xludf.DUMMYFUNCTION("""COMPUTED_VALUE"""),"PERSETUJUAN")</f>
        <v>PERSETUJUAN</v>
      </c>
      <c r="G103" s="7" t="str">
        <f ca="1">IFERROR(__xludf.DUMMYFUNCTION("""COMPUTED_VALUE"""),"BERUSAHA")</f>
        <v>BERUSAHA</v>
      </c>
      <c r="H103" s="7" t="str">
        <f ca="1">IFERROR(__xludf.DUMMYFUNCTION("""COMPUTED_VALUE"""),"SULAWESI SELATAN")</f>
        <v>SULAWESI SELATAN</v>
      </c>
      <c r="I103" s="7" t="str">
        <f ca="1">IFERROR(__xludf.DUMMYFUNCTION("""COMPUTED_VALUE"""),"LAUT FLORES")</f>
        <v>LAUT FLORES</v>
      </c>
      <c r="J103" s="7" t="str">
        <f ca="1">IFERROR(__xludf.DUMMYFUNCTION("""COMPUTED_VALUE"""),"KERAMBA JARING APUNG")</f>
        <v>KERAMBA JARING APUNG</v>
      </c>
      <c r="K103" s="7">
        <f ca="1">IFERROR(__xludf.DUMMYFUNCTION("""COMPUTED_VALUE"""),0.07)</f>
        <v>7.0000000000000007E-2</v>
      </c>
      <c r="L103" s="7" t="str">
        <f ca="1">IFERROR(__xludf.DUMMYFUNCTION("""COMPUTED_VALUE"""),"ha")</f>
        <v>ha</v>
      </c>
      <c r="M103" s="7"/>
      <c r="N103" s="7"/>
      <c r="O103" s="7" t="str">
        <f ca="1">IFERROR(__xludf.DUMMYFUNCTION("""COMPUTED_VALUE"""),"19022410517300002")</f>
        <v>19022410517300002</v>
      </c>
      <c r="P103" s="8">
        <f ca="1">IFERROR(__xludf.DUMMYFUNCTION("""COMPUTED_VALUE"""),45341)</f>
        <v>45341</v>
      </c>
      <c r="Q103" s="8"/>
      <c r="R103" s="7" t="str">
        <f ca="1">IFERROR(__xludf.DUMMYFUNCTION("""COMPUTED_VALUE"""),"Tidak Menyampaikan Laporan")</f>
        <v>Tidak Menyampaikan Laporan</v>
      </c>
      <c r="S103" s="7"/>
      <c r="T103" s="7"/>
      <c r="U103" s="7"/>
      <c r="V103" s="7"/>
      <c r="W103" s="7"/>
      <c r="X103" s="7"/>
      <c r="Y103" s="7"/>
      <c r="Z103" s="7"/>
      <c r="AA103" s="7" t="str">
        <f ca="1">IFERROR(__xludf.DUMMYFUNCTION("""COMPUTED_VALUE"""),"SP1")</f>
        <v>SP1</v>
      </c>
      <c r="AB103" s="9" t="str">
        <f ca="1">IFERROR(__xludf.DUMMYFUNCTION("""COMPUTED_VALUE"""),"TIDAK MENYAMPAIKAN LAPORAN 1")</f>
        <v>TIDAK MENYAMPAIKAN LAPORAN 1</v>
      </c>
      <c r="AC103" s="9"/>
      <c r="AD103" s="9"/>
      <c r="AE103" s="11"/>
      <c r="AF103" s="7" t="str">
        <f ca="1">IFERROR(__xludf.DUMMYFUNCTION("""COMPUTED_VALUE"""),"BITUNG")</f>
        <v>BITUNG</v>
      </c>
      <c r="AG103" s="8"/>
      <c r="AH103" s="7"/>
      <c r="AI103" s="7"/>
      <c r="AJ103" s="7"/>
      <c r="AK103" s="6"/>
      <c r="AL103" s="6"/>
      <c r="AM103" s="6"/>
      <c r="AN103" s="6"/>
      <c r="AO103" s="6"/>
    </row>
    <row r="104" spans="1:41" ht="25.5" x14ac:dyDescent="0.3">
      <c r="A104" s="7">
        <f ca="1">IFERROR(__xludf.DUMMYFUNCTION("""COMPUTED_VALUE"""),1541)</f>
        <v>1541</v>
      </c>
      <c r="B104" s="7" t="str">
        <f ca="1">IFERROR(__xludf.DUMMYFUNCTION("""COMPUTED_VALUE"""),"24.13.00135")</f>
        <v>24.13.00135</v>
      </c>
      <c r="C104" s="7" t="str">
        <f ca="1">IFERROR(__xludf.DUMMYFUNCTION("""COMPUTED_VALUE"""),"PT TAMBANG BATUAN ANDESIT")</f>
        <v>PT TAMBANG BATUAN ANDESIT</v>
      </c>
      <c r="D104" s="7" t="str">
        <f ca="1">IFERROR(__xludf.DUMMYFUNCTION("""COMPUTED_VALUE"""),"0541123456 / pt.tambangbatuanandesit@gmail.com")</f>
        <v>0541123456 / pt.tambangbatuanandesit@gmail.com</v>
      </c>
      <c r="E104" s="7" t="str">
        <f ca="1">IFERROR(__xludf.DUMMYFUNCTION("""COMPUTED_VALUE"""),"JL. TEUKU UMAR NO. 8, KELURAHAN KARANG ASAM ULU, KECAMATAN SUNGAI KUNJANG, KOTA SAMARINDA, PROVINSI KALIMANTAN TIMUR")</f>
        <v>JL. TEUKU UMAR NO. 8, KELURAHAN KARANG ASAM ULU, KECAMATAN SUNGAI KUNJANG, KOTA SAMARINDA, PROVINSI KALIMANTAN TIMUR</v>
      </c>
      <c r="F104" s="7" t="str">
        <f ca="1">IFERROR(__xludf.DUMMYFUNCTION("""COMPUTED_VALUE"""),"PERSETUJUAN")</f>
        <v>PERSETUJUAN</v>
      </c>
      <c r="G104" s="7" t="str">
        <f ca="1">IFERROR(__xludf.DUMMYFUNCTION("""COMPUTED_VALUE"""),"BERUSAHA")</f>
        <v>BERUSAHA</v>
      </c>
      <c r="H104" s="7" t="str">
        <f ca="1">IFERROR(__xludf.DUMMYFUNCTION("""COMPUTED_VALUE"""),"SULAWESI BARAT")</f>
        <v>SULAWESI BARAT</v>
      </c>
      <c r="I104" s="7" t="str">
        <f ca="1">IFERROR(__xludf.DUMMYFUNCTION("""COMPUTED_VALUE"""),"SELAT MAKASSAR")</f>
        <v>SELAT MAKASSAR</v>
      </c>
      <c r="J104" s="7" t="str">
        <f ca="1">IFERROR(__xludf.DUMMYFUNCTION("""COMPUTED_VALUE"""),"TERMINAL KHUSUS")</f>
        <v>TERMINAL KHUSUS</v>
      </c>
      <c r="K104" s="7">
        <f ca="1">IFERROR(__xludf.DUMMYFUNCTION("""COMPUTED_VALUE"""),8.42)</f>
        <v>8.42</v>
      </c>
      <c r="L104" s="7" t="str">
        <f ca="1">IFERROR(__xludf.DUMMYFUNCTION("""COMPUTED_VALUE"""),"ha")</f>
        <v>ha</v>
      </c>
      <c r="M104" s="7"/>
      <c r="N104" s="7"/>
      <c r="O104" s="7" t="str">
        <f ca="1">IFERROR(__xludf.DUMMYFUNCTION("""COMPUTED_VALUE"""),"20022410517600004")</f>
        <v>20022410517600004</v>
      </c>
      <c r="P104" s="8">
        <f ca="1">IFERROR(__xludf.DUMMYFUNCTION("""COMPUTED_VALUE"""),45342)</f>
        <v>45342</v>
      </c>
      <c r="Q104" s="8">
        <f ca="1">IFERROR(__xludf.DUMMYFUNCTION("""COMPUTED_VALUE"""),45721)</f>
        <v>45721</v>
      </c>
      <c r="R104" s="7" t="str">
        <f ca="1">IFERROR(__xludf.DUMMYFUNCTION("""COMPUTED_VALUE"""),"Terlambat")</f>
        <v>Terlambat</v>
      </c>
      <c r="S104" s="7"/>
      <c r="T104" s="7"/>
      <c r="U104" s="7"/>
      <c r="V104" s="7"/>
      <c r="W104" s="7"/>
      <c r="X104" s="7"/>
      <c r="Y104" s="7"/>
      <c r="Z104" s="7"/>
      <c r="AA104" s="7" t="str">
        <f ca="1">IFERROR(__xludf.DUMMYFUNCTION("""COMPUTED_VALUE"""),"SP1")</f>
        <v>SP1</v>
      </c>
      <c r="AB104" s="9" t="str">
        <f ca="1">IFERROR(__xludf.DUMMYFUNCTION("""COMPUTED_VALUE"""),"LAPORAN 1 TERLAMBAT")</f>
        <v>LAPORAN 1 TERLAMBAT</v>
      </c>
      <c r="AC104" s="9"/>
      <c r="AD104" s="9"/>
      <c r="AE104" s="11"/>
      <c r="AF104" s="7" t="str">
        <f ca="1">IFERROR(__xludf.DUMMYFUNCTION("""COMPUTED_VALUE"""),"BITUNG")</f>
        <v>BITUNG</v>
      </c>
      <c r="AG104" s="8"/>
      <c r="AH104" s="7"/>
      <c r="AI104" s="7"/>
      <c r="AJ104" s="7"/>
      <c r="AK104" s="6"/>
      <c r="AL104" s="6"/>
      <c r="AM104" s="6"/>
      <c r="AN104" s="6"/>
      <c r="AO104" s="6"/>
    </row>
    <row r="105" spans="1:41" ht="50.5" x14ac:dyDescent="0.3">
      <c r="A105" s="7">
        <f ca="1">IFERROR(__xludf.DUMMYFUNCTION("""COMPUTED_VALUE"""),1542)</f>
        <v>1542</v>
      </c>
      <c r="B105" s="7" t="str">
        <f ca="1">IFERROR(__xludf.DUMMYFUNCTION("""COMPUTED_VALUE"""),"24.13.00139")</f>
        <v>24.13.00139</v>
      </c>
      <c r="C105" s="7" t="str">
        <f ca="1">IFERROR(__xludf.DUMMYFUNCTION("""COMPUTED_VALUE"""),"PT EXPERT ENGINEERING")</f>
        <v>PT EXPERT ENGINEERING</v>
      </c>
      <c r="D105" s="7" t="str">
        <f ca="1">IFERROR(__xludf.DUMMYFUNCTION("""COMPUTED_VALUE"""),"0778460820 / niko.mjs118@gmail.com")</f>
        <v>0778460820 / niko.mjs118@gmail.com</v>
      </c>
      <c r="E105" s="7" t="str">
        <f ca="1">IFERROR(__xludf.DUMMYFUNCTION("""COMPUTED_VALUE"""),"KOMPLEK RUKO TAMAN LAKOTA BLOK A NO. 6, KELURAHAN BALOI PERMAI, KECAMATAN BATAM KOTA, KOTA BATAM, PROVINSI KEPULAUAN RIAU")</f>
        <v>KOMPLEK RUKO TAMAN LAKOTA BLOK A NO. 6, KELURAHAN BALOI PERMAI, KECAMATAN BATAM KOTA, KOTA BATAM, PROVINSI KEPULAUAN RIAU</v>
      </c>
      <c r="F105" s="7" t="str">
        <f ca="1">IFERROR(__xludf.DUMMYFUNCTION("""COMPUTED_VALUE"""),"PERSETUJUAN")</f>
        <v>PERSETUJUAN</v>
      </c>
      <c r="G105" s="7" t="str">
        <f ca="1">IFERROR(__xludf.DUMMYFUNCTION("""COMPUTED_VALUE"""),"BERUSAHA")</f>
        <v>BERUSAHA</v>
      </c>
      <c r="H105" s="7" t="str">
        <f ca="1">IFERROR(__xludf.DUMMYFUNCTION("""COMPUTED_VALUE"""),"SULAWESI TENGGARA")</f>
        <v>SULAWESI TENGGARA</v>
      </c>
      <c r="I105" s="7" t="str">
        <f ca="1">IFERROR(__xludf.DUMMYFUNCTION("""COMPUTED_VALUE"""),"LAUT BANDA")</f>
        <v>LAUT BANDA</v>
      </c>
      <c r="J105" s="7" t="str">
        <f ca="1">IFERROR(__xludf.DUMMYFUNCTION("""COMPUTED_VALUE"""),"INDUSTRI GALANGAN KAPAL")</f>
        <v>INDUSTRI GALANGAN KAPAL</v>
      </c>
      <c r="K105" s="7">
        <f ca="1">IFERROR(__xludf.DUMMYFUNCTION("""COMPUTED_VALUE"""),4.56)</f>
        <v>4.5599999999999996</v>
      </c>
      <c r="L105" s="7" t="str">
        <f ca="1">IFERROR(__xludf.DUMMYFUNCTION("""COMPUTED_VALUE"""),"ha")</f>
        <v>ha</v>
      </c>
      <c r="M105" s="7"/>
      <c r="N105" s="7"/>
      <c r="O105" s="7" t="str">
        <f ca="1">IFERROR(__xludf.DUMMYFUNCTION("""COMPUTED_VALUE"""),"20022410517400009")</f>
        <v>20022410517400009</v>
      </c>
      <c r="P105" s="8">
        <f ca="1">IFERROR(__xludf.DUMMYFUNCTION("""COMPUTED_VALUE"""),45342)</f>
        <v>45342</v>
      </c>
      <c r="Q105" s="8"/>
      <c r="R105" s="7" t="str">
        <f ca="1">IFERROR(__xludf.DUMMYFUNCTION("""COMPUTED_VALUE"""),"Tidak Menyampaikan Laporan")</f>
        <v>Tidak Menyampaikan Laporan</v>
      </c>
      <c r="S105" s="7"/>
      <c r="T105" s="7"/>
      <c r="U105" s="7"/>
      <c r="V105" s="7"/>
      <c r="W105" s="7"/>
      <c r="X105" s="7"/>
      <c r="Y105" s="7"/>
      <c r="Z105" s="7"/>
      <c r="AA105" s="7" t="str">
        <f ca="1">IFERROR(__xludf.DUMMYFUNCTION("""COMPUTED_VALUE"""),"SP1")</f>
        <v>SP1</v>
      </c>
      <c r="AB105" s="9" t="str">
        <f ca="1">IFERROR(__xludf.DUMMYFUNCTION("""COMPUTED_VALUE"""),"TIDAK MENYAMPAIKAN LAPORAN 1")</f>
        <v>TIDAK MENYAMPAIKAN LAPORAN 1</v>
      </c>
      <c r="AC105" s="9"/>
      <c r="AD105" s="9"/>
      <c r="AE105" s="11"/>
      <c r="AF105" s="7" t="str">
        <f ca="1">IFERROR(__xludf.DUMMYFUNCTION("""COMPUTED_VALUE"""),"BITUNG")</f>
        <v>BITUNG</v>
      </c>
      <c r="AG105" s="8"/>
      <c r="AH105" s="7"/>
      <c r="AI105" s="7"/>
      <c r="AJ105" s="7"/>
      <c r="AK105" s="6"/>
      <c r="AL105" s="6"/>
      <c r="AM105" s="6"/>
      <c r="AN105" s="6"/>
      <c r="AO105" s="6"/>
    </row>
    <row r="106" spans="1:41" ht="25.5" x14ac:dyDescent="0.3">
      <c r="A106" s="7">
        <f ca="1">IFERROR(__xludf.DUMMYFUNCTION("""COMPUTED_VALUE"""),1543)</f>
        <v>1543</v>
      </c>
      <c r="B106" s="7" t="str">
        <f ca="1">IFERROR(__xludf.DUMMYFUNCTION("""COMPUTED_VALUE"""),"24.13.00140")</f>
        <v>24.13.00140</v>
      </c>
      <c r="C106" s="7" t="str">
        <f ca="1">IFERROR(__xludf.DUMMYFUNCTION("""COMPUTED_VALUE"""),"PT BUMI KONAWE MINERINA")</f>
        <v>PT BUMI KONAWE MINERINA</v>
      </c>
      <c r="D106" s="7" t="str">
        <f ca="1">IFERROR(__xludf.DUMMYFUNCTION("""COMPUTED_VALUE"""),"02157991516 / bumikonawe.m@yahoo.com")</f>
        <v>02157991516 / bumikonawe.m@yahoo.com</v>
      </c>
      <c r="E106" s="7" t="str">
        <f ca="1">IFERROR(__xludf.DUMMYFUNCTION("""COMPUTED_VALUE"""),"JL. AH. NASUTION LR. BELIBIS NO. 6, KOTA KENDARI, PROVINSI SULAWESI TENGGARA")</f>
        <v>JL. AH. NASUTION LR. BELIBIS NO. 6, KOTA KENDARI, PROVINSI SULAWESI TENGGARA</v>
      </c>
      <c r="F106" s="7" t="str">
        <f ca="1">IFERROR(__xludf.DUMMYFUNCTION("""COMPUTED_VALUE"""),"PERSETUJUAN")</f>
        <v>PERSETUJUAN</v>
      </c>
      <c r="G106" s="7" t="str">
        <f ca="1">IFERROR(__xludf.DUMMYFUNCTION("""COMPUTED_VALUE"""),"BERUSAHA")</f>
        <v>BERUSAHA</v>
      </c>
      <c r="H106" s="7" t="str">
        <f ca="1">IFERROR(__xludf.DUMMYFUNCTION("""COMPUTED_VALUE"""),"SULAWESI TENGGARA")</f>
        <v>SULAWESI TENGGARA</v>
      </c>
      <c r="I106" s="7" t="str">
        <f ca="1">IFERROR(__xludf.DUMMYFUNCTION("""COMPUTED_VALUE"""),"LAUT BANDA")</f>
        <v>LAUT BANDA</v>
      </c>
      <c r="J106" s="7" t="str">
        <f ca="1">IFERROR(__xludf.DUMMYFUNCTION("""COMPUTED_VALUE"""),"TERMINAL KHUSUS")</f>
        <v>TERMINAL KHUSUS</v>
      </c>
      <c r="K106" s="7">
        <f ca="1">IFERROR(__xludf.DUMMYFUNCTION("""COMPUTED_VALUE"""),13.66)</f>
        <v>13.66</v>
      </c>
      <c r="L106" s="7" t="str">
        <f ca="1">IFERROR(__xludf.DUMMYFUNCTION("""COMPUTED_VALUE"""),"ha")</f>
        <v>ha</v>
      </c>
      <c r="M106" s="7"/>
      <c r="N106" s="7"/>
      <c r="O106" s="7" t="str">
        <f ca="1">IFERROR(__xludf.DUMMYFUNCTION("""COMPUTED_VALUE"""),"20022410517400008")</f>
        <v>20022410517400008</v>
      </c>
      <c r="P106" s="8">
        <f ca="1">IFERROR(__xludf.DUMMYFUNCTION("""COMPUTED_VALUE"""),45342)</f>
        <v>45342</v>
      </c>
      <c r="Q106" s="8">
        <f ca="1">IFERROR(__xludf.DUMMYFUNCTION("""COMPUTED_VALUE"""),45713)</f>
        <v>45713</v>
      </c>
      <c r="R106" s="7" t="str">
        <f ca="1">IFERROR(__xludf.DUMMYFUNCTION("""COMPUTED_VALUE"""),"Terlambat")</f>
        <v>Terlambat</v>
      </c>
      <c r="S106" s="7"/>
      <c r="T106" s="7"/>
      <c r="U106" s="7"/>
      <c r="V106" s="7"/>
      <c r="W106" s="7"/>
      <c r="X106" s="7"/>
      <c r="Y106" s="7"/>
      <c r="Z106" s="7"/>
      <c r="AA106" s="7" t="str">
        <f ca="1">IFERROR(__xludf.DUMMYFUNCTION("""COMPUTED_VALUE"""),"SP1")</f>
        <v>SP1</v>
      </c>
      <c r="AB106" s="9" t="str">
        <f ca="1">IFERROR(__xludf.DUMMYFUNCTION("""COMPUTED_VALUE"""),"LAPORAN 1 TERLAMBAT")</f>
        <v>LAPORAN 1 TERLAMBAT</v>
      </c>
      <c r="AC106" s="9"/>
      <c r="AD106" s="9"/>
      <c r="AE106" s="9"/>
      <c r="AF106" s="7" t="str">
        <f ca="1">IFERROR(__xludf.DUMMYFUNCTION("""COMPUTED_VALUE"""),"BITUNG")</f>
        <v>BITUNG</v>
      </c>
      <c r="AG106" s="7"/>
      <c r="AH106" s="7"/>
      <c r="AI106" s="7"/>
      <c r="AJ106" s="7"/>
      <c r="AK106" s="6"/>
      <c r="AL106" s="6"/>
      <c r="AM106" s="6"/>
      <c r="AN106" s="6"/>
      <c r="AO106" s="6"/>
    </row>
    <row r="107" spans="1:41" ht="50.5" x14ac:dyDescent="0.3">
      <c r="A107" s="7">
        <f ca="1">IFERROR(__xludf.DUMMYFUNCTION("""COMPUTED_VALUE"""),1551)</f>
        <v>1551</v>
      </c>
      <c r="B107" s="7" t="str">
        <f ca="1">IFERROR(__xludf.DUMMYFUNCTION("""COMPUTED_VALUE"""),"24.13.00127")</f>
        <v>24.13.00127</v>
      </c>
      <c r="C107" s="7" t="str">
        <f ca="1">IFERROR(__xludf.DUMMYFUNCTION("""COMPUTED_VALUE"""),"PT LAUTAN GUNUNG MAS")</f>
        <v>PT LAUTAN GUNUNG MAS</v>
      </c>
      <c r="D107" s="7" t="str">
        <f ca="1">IFERROR(__xludf.DUMMYFUNCTION("""COMPUTED_VALUE"""),"081232283129 / ptlgm2017@gmail.com")</f>
        <v>081232283129 / ptlgm2017@gmail.com</v>
      </c>
      <c r="E107" s="7" t="str">
        <f ca="1">IFERROR(__xludf.DUMMYFUNCTION("""COMPUTED_VALUE"""),"DESA UWEDIKAN, KECAMATAN LUWUK TIMUR, KABUPATEN BANGGAI, PROVINSI SULAWESI TENGAH")</f>
        <v>DESA UWEDIKAN, KECAMATAN LUWUK TIMUR, KABUPATEN BANGGAI, PROVINSI SULAWESI TENGAH</v>
      </c>
      <c r="F107" s="7" t="str">
        <f ca="1">IFERROR(__xludf.DUMMYFUNCTION("""COMPUTED_VALUE"""),"PERSETUJUAN")</f>
        <v>PERSETUJUAN</v>
      </c>
      <c r="G107" s="7" t="str">
        <f ca="1">IFERROR(__xludf.DUMMYFUNCTION("""COMPUTED_VALUE"""),"BERUSAHA")</f>
        <v>BERUSAHA</v>
      </c>
      <c r="H107" s="7" t="str">
        <f ca="1">IFERROR(__xludf.DUMMYFUNCTION("""COMPUTED_VALUE"""),"SULAWESI TENGAH")</f>
        <v>SULAWESI TENGAH</v>
      </c>
      <c r="I107" s="7" t="str">
        <f ca="1">IFERROR(__xludf.DUMMYFUNCTION("""COMPUTED_VALUE"""),"LAUT BANDA")</f>
        <v>LAUT BANDA</v>
      </c>
      <c r="J107" s="7" t="str">
        <f ca="1">IFERROR(__xludf.DUMMYFUNCTION("""COMPUTED_VALUE"""),"PEMASANGAN INSTALASI PERIKANAN")</f>
        <v>PEMASANGAN INSTALASI PERIKANAN</v>
      </c>
      <c r="K107" s="7">
        <f ca="1">IFERROR(__xludf.DUMMYFUNCTION("""COMPUTED_VALUE"""),0.62)</f>
        <v>0.62</v>
      </c>
      <c r="L107" s="7" t="str">
        <f ca="1">IFERROR(__xludf.DUMMYFUNCTION("""COMPUTED_VALUE"""),"ha")</f>
        <v>ha</v>
      </c>
      <c r="M107" s="7"/>
      <c r="N107" s="7"/>
      <c r="O107" s="7" t="str">
        <f ca="1">IFERROR(__xludf.DUMMYFUNCTION("""COMPUTED_VALUE"""),"21022410517200004")</f>
        <v>21022410517200004</v>
      </c>
      <c r="P107" s="8">
        <f ca="1">IFERROR(__xludf.DUMMYFUNCTION("""COMPUTED_VALUE"""),45343)</f>
        <v>45343</v>
      </c>
      <c r="Q107" s="7"/>
      <c r="R107" s="7" t="str">
        <f ca="1">IFERROR(__xludf.DUMMYFUNCTION("""COMPUTED_VALUE"""),"Tidak Menyampaikan Laporan")</f>
        <v>Tidak Menyampaikan Laporan</v>
      </c>
      <c r="S107" s="7"/>
      <c r="T107" s="7"/>
      <c r="U107" s="7"/>
      <c r="V107" s="7"/>
      <c r="W107" s="7"/>
      <c r="X107" s="7"/>
      <c r="Y107" s="7"/>
      <c r="Z107" s="7"/>
      <c r="AA107" s="7" t="str">
        <f ca="1">IFERROR(__xludf.DUMMYFUNCTION("""COMPUTED_VALUE"""),"SP1")</f>
        <v>SP1</v>
      </c>
      <c r="AB107" s="9" t="str">
        <f ca="1">IFERROR(__xludf.DUMMYFUNCTION("""COMPUTED_VALUE"""),"TIDAK MENYAMPAIKAN LAPORAN 1")</f>
        <v>TIDAK MENYAMPAIKAN LAPORAN 1</v>
      </c>
      <c r="AC107" s="9"/>
      <c r="AD107" s="9"/>
      <c r="AE107" s="9"/>
      <c r="AF107" s="7" t="str">
        <f ca="1">IFERROR(__xludf.DUMMYFUNCTION("""COMPUTED_VALUE"""),"BITUNG")</f>
        <v>BITUNG</v>
      </c>
      <c r="AG107" s="7"/>
      <c r="AH107" s="7"/>
      <c r="AI107" s="7"/>
      <c r="AJ107" s="7"/>
      <c r="AK107" s="6"/>
      <c r="AL107" s="6"/>
      <c r="AM107" s="6"/>
      <c r="AN107" s="6"/>
      <c r="AO107" s="6"/>
    </row>
    <row r="108" spans="1:41" ht="50.5" x14ac:dyDescent="0.3">
      <c r="A108" s="7">
        <f ca="1">IFERROR(__xludf.DUMMYFUNCTION("""COMPUTED_VALUE"""),1557)</f>
        <v>1557</v>
      </c>
      <c r="B108" s="7" t="str">
        <f ca="1">IFERROR(__xludf.DUMMYFUNCTION("""COMPUTED_VALUE"""),"24.13.00148")</f>
        <v>24.13.00148</v>
      </c>
      <c r="C108" s="7" t="str">
        <f ca="1">IFERROR(__xludf.DUMMYFUNCTION("""COMPUTED_VALUE"""),"PT ANUGERAH TOMPIRA NIKEL")</f>
        <v>PT ANUGERAH TOMPIRA NIKEL</v>
      </c>
      <c r="D108" s="7" t="str">
        <f ca="1">IFERROR(__xludf.DUMMYFUNCTION("""COMPUTED_VALUE"""),"081282828163 / atn.nikel@gmail.com")</f>
        <v>081282828163 / atn.nikel@gmail.com</v>
      </c>
      <c r="E108" s="7" t="str">
        <f ca="1">IFERROR(__xludf.DUMMYFUNCTION("""COMPUTED_VALUE"""),"JL. GRIYA UTAMA BLOK BD NO. 15-16, KOTA JAKARTA UTARA, PROVINSI DKI JAKARTA")</f>
        <v>JL. GRIYA UTAMA BLOK BD NO. 15-16, KOTA JAKARTA UTARA, PROVINSI DKI JAKARTA</v>
      </c>
      <c r="F108" s="7" t="str">
        <f ca="1">IFERROR(__xludf.DUMMYFUNCTION("""COMPUTED_VALUE"""),"PERSETUJUAN")</f>
        <v>PERSETUJUAN</v>
      </c>
      <c r="G108" s="7" t="str">
        <f ca="1">IFERROR(__xludf.DUMMYFUNCTION("""COMPUTED_VALUE"""),"BERUSAHA")</f>
        <v>BERUSAHA</v>
      </c>
      <c r="H108" s="7" t="str">
        <f ca="1">IFERROR(__xludf.DUMMYFUNCTION("""COMPUTED_VALUE"""),"SULAWESI TENGAH")</f>
        <v>SULAWESI TENGAH</v>
      </c>
      <c r="I108" s="7" t="str">
        <f ca="1">IFERROR(__xludf.DUMMYFUNCTION("""COMPUTED_VALUE"""),"LAUT BANDA")</f>
        <v>LAUT BANDA</v>
      </c>
      <c r="J108" s="7" t="str">
        <f ca="1">IFERROR(__xludf.DUMMYFUNCTION("""COMPUTED_VALUE"""),"TERMINAL KHUSUS")</f>
        <v>TERMINAL KHUSUS</v>
      </c>
      <c r="K108" s="7">
        <f ca="1">IFERROR(__xludf.DUMMYFUNCTION("""COMPUTED_VALUE"""),15.02)</f>
        <v>15.02</v>
      </c>
      <c r="L108" s="7" t="str">
        <f ca="1">IFERROR(__xludf.DUMMYFUNCTION("""COMPUTED_VALUE"""),"ha")</f>
        <v>ha</v>
      </c>
      <c r="M108" s="7"/>
      <c r="N108" s="7"/>
      <c r="O108" s="7" t="str">
        <f ca="1">IFERROR(__xludf.DUMMYFUNCTION("""COMPUTED_VALUE"""),"21022410517200005")</f>
        <v>21022410517200005</v>
      </c>
      <c r="P108" s="8">
        <f ca="1">IFERROR(__xludf.DUMMYFUNCTION("""COMPUTED_VALUE"""),45343)</f>
        <v>45343</v>
      </c>
      <c r="Q108" s="8"/>
      <c r="R108" s="7" t="str">
        <f ca="1">IFERROR(__xludf.DUMMYFUNCTION("""COMPUTED_VALUE"""),"Tidak Menyampaikan Laporan")</f>
        <v>Tidak Menyampaikan Laporan</v>
      </c>
      <c r="S108" s="7"/>
      <c r="T108" s="7"/>
      <c r="U108" s="7"/>
      <c r="V108" s="7"/>
      <c r="W108" s="7"/>
      <c r="X108" s="7"/>
      <c r="Y108" s="7"/>
      <c r="Z108" s="7"/>
      <c r="AA108" s="7" t="str">
        <f ca="1">IFERROR(__xludf.DUMMYFUNCTION("""COMPUTED_VALUE"""),"SP1")</f>
        <v>SP1</v>
      </c>
      <c r="AB108" s="9" t="str">
        <f ca="1">IFERROR(__xludf.DUMMYFUNCTION("""COMPUTED_VALUE"""),"TIDAK MENYAMPAIKAN LAPORAN 1")</f>
        <v>TIDAK MENYAMPAIKAN LAPORAN 1</v>
      </c>
      <c r="AC108" s="9"/>
      <c r="AD108" s="9"/>
      <c r="AE108" s="11"/>
      <c r="AF108" s="7" t="str">
        <f ca="1">IFERROR(__xludf.DUMMYFUNCTION("""COMPUTED_VALUE"""),"BITUNG")</f>
        <v>BITUNG</v>
      </c>
      <c r="AG108" s="8"/>
      <c r="AH108" s="7"/>
      <c r="AI108" s="7"/>
      <c r="AJ108" s="7"/>
      <c r="AK108" s="6"/>
      <c r="AL108" s="6"/>
      <c r="AM108" s="6"/>
      <c r="AN108" s="6"/>
      <c r="AO108" s="6"/>
    </row>
    <row r="109" spans="1:41" ht="50.5" x14ac:dyDescent="0.3">
      <c r="A109" s="7">
        <f ca="1">IFERROR(__xludf.DUMMYFUNCTION("""COMPUTED_VALUE"""),1558)</f>
        <v>1558</v>
      </c>
      <c r="B109" s="7" t="str">
        <f ca="1">IFERROR(__xludf.DUMMYFUNCTION("""COMPUTED_VALUE"""),"24.13.00149")</f>
        <v>24.13.00149</v>
      </c>
      <c r="C109" s="7" t="str">
        <f ca="1">IFERROR(__xludf.DUMMYFUNCTION("""COMPUTED_VALUE"""),"PT AYASKARA ALAM NUSANTARA")</f>
        <v>PT AYASKARA ALAM NUSANTARA</v>
      </c>
      <c r="D109" s="7" t="str">
        <f ca="1">IFERROR(__xludf.DUMMYFUNCTION("""COMPUTED_VALUE"""),"02129670591 / info@ayaskaraalamnusantara.co.id")</f>
        <v>02129670591 / info@ayaskaraalamnusantara.co.id</v>
      </c>
      <c r="E109" s="7" t="str">
        <f ca="1">IFERROR(__xludf.DUMMYFUNCTION("""COMPUTED_VALUE"""),"APL TOWER LT. 38 UNIT T5-56, JL. LETJEN S PARMAN KAV. 28, KELURAHAN TANJUNG DUREN SELATAN, KECAMATAN GROGOL PETAMBURAN, KOTA JAKARTA BARAT, PROVINSI DKI JAKARTA")</f>
        <v>APL TOWER LT. 38 UNIT T5-56, JL. LETJEN S PARMAN KAV. 28, KELURAHAN TANJUNG DUREN SELATAN, KECAMATAN GROGOL PETAMBURAN, KOTA JAKARTA BARAT, PROVINSI DKI JAKARTA</v>
      </c>
      <c r="F109" s="7" t="str">
        <f ca="1">IFERROR(__xludf.DUMMYFUNCTION("""COMPUTED_VALUE"""),"PERSETUJUAN")</f>
        <v>PERSETUJUAN</v>
      </c>
      <c r="G109" s="7" t="str">
        <f ca="1">IFERROR(__xludf.DUMMYFUNCTION("""COMPUTED_VALUE"""),"BERUSAHA")</f>
        <v>BERUSAHA</v>
      </c>
      <c r="H109" s="7" t="str">
        <f ca="1">IFERROR(__xludf.DUMMYFUNCTION("""COMPUTED_VALUE"""),"SULAWESI TENGGARA")</f>
        <v>SULAWESI TENGGARA</v>
      </c>
      <c r="I109" s="7" t="str">
        <f ca="1">IFERROR(__xludf.DUMMYFUNCTION("""COMPUTED_VALUE"""),"LAUT BANDA")</f>
        <v>LAUT BANDA</v>
      </c>
      <c r="J109" s="7" t="str">
        <f ca="1">IFERROR(__xludf.DUMMYFUNCTION("""COMPUTED_VALUE"""),"TERMINAL KHUSUS")</f>
        <v>TERMINAL KHUSUS</v>
      </c>
      <c r="K109" s="7">
        <f ca="1">IFERROR(__xludf.DUMMYFUNCTION("""COMPUTED_VALUE"""),10.24)</f>
        <v>10.24</v>
      </c>
      <c r="L109" s="7" t="str">
        <f ca="1">IFERROR(__xludf.DUMMYFUNCTION("""COMPUTED_VALUE"""),"ha")</f>
        <v>ha</v>
      </c>
      <c r="M109" s="7"/>
      <c r="N109" s="7"/>
      <c r="O109" s="7" t="str">
        <f ca="1">IFERROR(__xludf.DUMMYFUNCTION("""COMPUTED_VALUE"""),"21022410517400001")</f>
        <v>21022410517400001</v>
      </c>
      <c r="P109" s="8">
        <f ca="1">IFERROR(__xludf.DUMMYFUNCTION("""COMPUTED_VALUE"""),45343)</f>
        <v>45343</v>
      </c>
      <c r="Q109" s="7"/>
      <c r="R109" s="7" t="str">
        <f ca="1">IFERROR(__xludf.DUMMYFUNCTION("""COMPUTED_VALUE"""),"Tidak Menyampaikan Laporan")</f>
        <v>Tidak Menyampaikan Laporan</v>
      </c>
      <c r="S109" s="7"/>
      <c r="T109" s="7"/>
      <c r="U109" s="7"/>
      <c r="V109" s="7"/>
      <c r="W109" s="7"/>
      <c r="X109" s="7"/>
      <c r="Y109" s="7"/>
      <c r="Z109" s="7"/>
      <c r="AA109" s="7" t="str">
        <f ca="1">IFERROR(__xludf.DUMMYFUNCTION("""COMPUTED_VALUE"""),"SP1")</f>
        <v>SP1</v>
      </c>
      <c r="AB109" s="9" t="str">
        <f ca="1">IFERROR(__xludf.DUMMYFUNCTION("""COMPUTED_VALUE"""),"TIDAK MENYAMPAIKAN LAPORAN 1")</f>
        <v>TIDAK MENYAMPAIKAN LAPORAN 1</v>
      </c>
      <c r="AC109" s="9"/>
      <c r="AD109" s="9"/>
      <c r="AE109" s="9"/>
      <c r="AF109" s="7" t="str">
        <f ca="1">IFERROR(__xludf.DUMMYFUNCTION("""COMPUTED_VALUE"""),"BITUNG")</f>
        <v>BITUNG</v>
      </c>
      <c r="AG109" s="7"/>
      <c r="AH109" s="7"/>
      <c r="AI109" s="7"/>
      <c r="AJ109" s="7"/>
      <c r="AK109" s="6"/>
      <c r="AL109" s="6"/>
      <c r="AM109" s="6"/>
      <c r="AN109" s="6"/>
      <c r="AO109" s="6"/>
    </row>
    <row r="110" spans="1:41" ht="50.5" x14ac:dyDescent="0.3">
      <c r="A110" s="7">
        <f ca="1">IFERROR(__xludf.DUMMYFUNCTION("""COMPUTED_VALUE"""),1559)</f>
        <v>1559</v>
      </c>
      <c r="B110" s="7" t="str">
        <f ca="1">IFERROR(__xludf.DUMMYFUNCTION("""COMPUTED_VALUE"""),"24.13.00155")</f>
        <v>24.13.00155</v>
      </c>
      <c r="C110" s="7" t="str">
        <f ca="1">IFERROR(__xludf.DUMMYFUNCTION("""COMPUTED_VALUE"""),"PT MINERAL BUMI PULUTI")</f>
        <v>PT MINERAL BUMI PULUTI</v>
      </c>
      <c r="D110" s="7" t="str">
        <f ca="1">IFERROR(__xludf.DUMMYFUNCTION("""COMPUTED_VALUE"""),"085399285115 / mineralbumipuluti.pt@gmail.com")</f>
        <v>085399285115 / mineralbumipuluti.pt@gmail.com</v>
      </c>
      <c r="E110" s="7" t="str">
        <f ca="1">IFERROR(__xludf.DUMMYFUNCTION("""COMPUTED_VALUE"""),"KELURAHAN LAMBEREA, KECAMATAN BUNGKU TENGAH, KABUPATEN MOROWALI, PROVINSI SULAWESI TENGAH")</f>
        <v>KELURAHAN LAMBEREA, KECAMATAN BUNGKU TENGAH, KABUPATEN MOROWALI, PROVINSI SULAWESI TENGAH</v>
      </c>
      <c r="F110" s="7" t="str">
        <f ca="1">IFERROR(__xludf.DUMMYFUNCTION("""COMPUTED_VALUE"""),"PERSETUJUAN")</f>
        <v>PERSETUJUAN</v>
      </c>
      <c r="G110" s="7" t="str">
        <f ca="1">IFERROR(__xludf.DUMMYFUNCTION("""COMPUTED_VALUE"""),"BERUSAHA")</f>
        <v>BERUSAHA</v>
      </c>
      <c r="H110" s="7" t="str">
        <f ca="1">IFERROR(__xludf.DUMMYFUNCTION("""COMPUTED_VALUE"""),"SULAWESI TENGAH")</f>
        <v>SULAWESI TENGAH</v>
      </c>
      <c r="I110" s="7" t="str">
        <f ca="1">IFERROR(__xludf.DUMMYFUNCTION("""COMPUTED_VALUE"""),"LAUT BANDA")</f>
        <v>LAUT BANDA</v>
      </c>
      <c r="J110" s="7" t="str">
        <f ca="1">IFERROR(__xludf.DUMMYFUNCTION("""COMPUTED_VALUE"""),"TERMINAL UNTUK KEPENTINGAN SENDIRI (TUKS)")</f>
        <v>TERMINAL UNTUK KEPENTINGAN SENDIRI (TUKS)</v>
      </c>
      <c r="K110" s="7">
        <f ca="1">IFERROR(__xludf.DUMMYFUNCTION("""COMPUTED_VALUE"""),1.32)</f>
        <v>1.32</v>
      </c>
      <c r="L110" s="7" t="str">
        <f ca="1">IFERROR(__xludf.DUMMYFUNCTION("""COMPUTED_VALUE"""),"ha")</f>
        <v>ha</v>
      </c>
      <c r="M110" s="7"/>
      <c r="N110" s="7"/>
      <c r="O110" s="7" t="str">
        <f ca="1">IFERROR(__xludf.DUMMYFUNCTION("""COMPUTED_VALUE"""),"21022410517200006")</f>
        <v>21022410517200006</v>
      </c>
      <c r="P110" s="8">
        <f ca="1">IFERROR(__xludf.DUMMYFUNCTION("""COMPUTED_VALUE"""),45343)</f>
        <v>45343</v>
      </c>
      <c r="Q110" s="8"/>
      <c r="R110" s="7" t="str">
        <f ca="1">IFERROR(__xludf.DUMMYFUNCTION("""COMPUTED_VALUE"""),"Tidak Menyampaikan Laporan")</f>
        <v>Tidak Menyampaikan Laporan</v>
      </c>
      <c r="S110" s="7"/>
      <c r="T110" s="7"/>
      <c r="U110" s="7"/>
      <c r="V110" s="7"/>
      <c r="W110" s="7"/>
      <c r="X110" s="7"/>
      <c r="Y110" s="7"/>
      <c r="Z110" s="7"/>
      <c r="AA110" s="7" t="str">
        <f ca="1">IFERROR(__xludf.DUMMYFUNCTION("""COMPUTED_VALUE"""),"SP1")</f>
        <v>SP1</v>
      </c>
      <c r="AB110" s="9" t="str">
        <f ca="1">IFERROR(__xludf.DUMMYFUNCTION("""COMPUTED_VALUE"""),"TIDAK MENYAMPAIKAN LAPORAN 1")</f>
        <v>TIDAK MENYAMPAIKAN LAPORAN 1</v>
      </c>
      <c r="AC110" s="9"/>
      <c r="AD110" s="9"/>
      <c r="AE110" s="11"/>
      <c r="AF110" s="7" t="str">
        <f ca="1">IFERROR(__xludf.DUMMYFUNCTION("""COMPUTED_VALUE"""),"BITUNG")</f>
        <v>BITUNG</v>
      </c>
      <c r="AG110" s="8"/>
      <c r="AH110" s="7"/>
      <c r="AI110" s="7"/>
      <c r="AJ110" s="7"/>
      <c r="AK110" s="6"/>
      <c r="AL110" s="6"/>
      <c r="AM110" s="6"/>
      <c r="AN110" s="6"/>
      <c r="AO110" s="6"/>
    </row>
    <row r="111" spans="1:41" ht="50.5" x14ac:dyDescent="0.3">
      <c r="A111" s="7">
        <f ca="1">IFERROR(__xludf.DUMMYFUNCTION("""COMPUTED_VALUE"""),1570)</f>
        <v>1570</v>
      </c>
      <c r="B111" s="7" t="str">
        <f ca="1">IFERROR(__xludf.DUMMYFUNCTION("""COMPUTED_VALUE"""),"24.13.00156")</f>
        <v>24.13.00156</v>
      </c>
      <c r="C111" s="7" t="str">
        <f ca="1">IFERROR(__xludf.DUMMYFUNCTION("""COMPUTED_VALUE"""),"PT PERTAMINA PATRA NIAGA")</f>
        <v>PT PERTAMINA PATRA NIAGA</v>
      </c>
      <c r="D111" s="7" t="str">
        <f ca="1">IFERROR(__xludf.DUMMYFUNCTION("""COMPUTED_VALUE"""),"0215209009/perizinan.ppn@pertamina.com")</f>
        <v>0215209009/perizinan.ppn@pertamina.com</v>
      </c>
      <c r="E111" s="7" t="str">
        <f ca="1">IFERROR(__xludf.DUMMYFUNCTION("""COMPUTED_VALUE"""),"GEDUNG WISMA TUGU II LT. 2, JL. HR. RASUNA SAID KAV. C7-9, KELURAHAN KARET KUNINGAN, KECAMATAN SETIABUDI, KOTA JAKARTA SELATAN, PROVINSI DKI JAKARTA")</f>
        <v>GEDUNG WISMA TUGU II LT. 2, JL. HR. RASUNA SAID KAV. C7-9, KELURAHAN KARET KUNINGAN, KECAMATAN SETIABUDI, KOTA JAKARTA SELATAN, PROVINSI DKI JAKARTA</v>
      </c>
      <c r="F111" s="7" t="str">
        <f ca="1">IFERROR(__xludf.DUMMYFUNCTION("""COMPUTED_VALUE"""),"PERSETUJUAN")</f>
        <v>PERSETUJUAN</v>
      </c>
      <c r="G111" s="7" t="str">
        <f ca="1">IFERROR(__xludf.DUMMYFUNCTION("""COMPUTED_VALUE"""),"BERUSAHA")</f>
        <v>BERUSAHA</v>
      </c>
      <c r="H111" s="7" t="str">
        <f ca="1">IFERROR(__xludf.DUMMYFUNCTION("""COMPUTED_VALUE"""),"SULAWESI UTARA")</f>
        <v>SULAWESI UTARA</v>
      </c>
      <c r="I111" s="7" t="str">
        <f ca="1">IFERROR(__xludf.DUMMYFUNCTION("""COMPUTED_VALUE"""),"LAUT MALUKU")</f>
        <v>LAUT MALUKU</v>
      </c>
      <c r="J111" s="7" t="str">
        <f ca="1">IFERROR(__xludf.DUMMYFUNCTION("""COMPUTED_VALUE"""),"INTEGRATED TERMINAL BITUNG")</f>
        <v>INTEGRATED TERMINAL BITUNG</v>
      </c>
      <c r="K111" s="7">
        <f ca="1">IFERROR(__xludf.DUMMYFUNCTION("""COMPUTED_VALUE"""),6.26)</f>
        <v>6.26</v>
      </c>
      <c r="L111" s="7" t="str">
        <f ca="1">IFERROR(__xludf.DUMMYFUNCTION("""COMPUTED_VALUE"""),"ha")</f>
        <v>ha</v>
      </c>
      <c r="M111" s="7"/>
      <c r="N111" s="7"/>
      <c r="O111" s="7" t="str">
        <f ca="1">IFERROR(__xludf.DUMMYFUNCTION("""COMPUTED_VALUE"""),"27022410517100009")</f>
        <v>27022410517100009</v>
      </c>
      <c r="P111" s="8">
        <f ca="1">IFERROR(__xludf.DUMMYFUNCTION("""COMPUTED_VALUE"""),45349)</f>
        <v>45349</v>
      </c>
      <c r="Q111" s="7"/>
      <c r="R111" s="7" t="str">
        <f ca="1">IFERROR(__xludf.DUMMYFUNCTION("""COMPUTED_VALUE"""),"Tidak Menyampaikan Laporan")</f>
        <v>Tidak Menyampaikan Laporan</v>
      </c>
      <c r="S111" s="7"/>
      <c r="T111" s="7"/>
      <c r="U111" s="7"/>
      <c r="V111" s="7"/>
      <c r="W111" s="7"/>
      <c r="X111" s="7"/>
      <c r="Y111" s="7"/>
      <c r="Z111" s="7"/>
      <c r="AA111" s="7" t="str">
        <f ca="1">IFERROR(__xludf.DUMMYFUNCTION("""COMPUTED_VALUE"""),"SP1")</f>
        <v>SP1</v>
      </c>
      <c r="AB111" s="9" t="str">
        <f ca="1">IFERROR(__xludf.DUMMYFUNCTION("""COMPUTED_VALUE"""),"TIDAK MENYAMPAIKAN LAPORAN 1")</f>
        <v>TIDAK MENYAMPAIKAN LAPORAN 1</v>
      </c>
      <c r="AC111" s="9"/>
      <c r="AD111" s="9"/>
      <c r="AE111" s="9"/>
      <c r="AF111" s="7" t="str">
        <f ca="1">IFERROR(__xludf.DUMMYFUNCTION("""COMPUTED_VALUE"""),"BITUNG")</f>
        <v>BITUNG</v>
      </c>
      <c r="AG111" s="7"/>
      <c r="AH111" s="7"/>
      <c r="AI111" s="7"/>
      <c r="AJ111" s="7"/>
      <c r="AK111" s="6"/>
      <c r="AL111" s="6"/>
      <c r="AM111" s="6"/>
      <c r="AN111" s="6"/>
      <c r="AO111" s="6"/>
    </row>
    <row r="112" spans="1:41" ht="25.5" x14ac:dyDescent="0.3">
      <c r="A112" s="7">
        <f ca="1">IFERROR(__xludf.DUMMYFUNCTION("""COMPUTED_VALUE"""),1593)</f>
        <v>1593</v>
      </c>
      <c r="B112" s="7" t="str">
        <f ca="1">IFERROR(__xludf.DUMMYFUNCTION("""COMPUTED_VALUE"""),"24.13.00176")</f>
        <v>24.13.00176</v>
      </c>
      <c r="C112" s="7" t="str">
        <f ca="1">IFERROR(__xludf.DUMMYFUNCTION("""COMPUTED_VALUE"""),"PT PLN INDONESIA POWER")</f>
        <v>PT PLN INDONESIA POWER</v>
      </c>
      <c r="D112" s="7" t="str">
        <f ca="1">IFERROR(__xludf.DUMMYFUNCTION("""COMPUTED_VALUE"""),"(021)5267666 / fahnizar.dandy@plnindonesiapower.co.id")</f>
        <v>(021)5267666 / fahnizar.dandy@plnindonesiapower.co.id</v>
      </c>
      <c r="E112" s="7" t="str">
        <f ca="1">IFERROR(__xludf.DUMMYFUNCTION("""COMPUTED_VALUE"""),"GEDUNG PLN, JL. GATOT SUBROTO KAV. 18, KELURAHAN KUNINGAN TIMUR, KECAMATAN SETIABUDI, KOTA JAKARTA SELATAN, PROVINSI DKI JAKARTA")</f>
        <v>GEDUNG PLN, JL. GATOT SUBROTO KAV. 18, KELURAHAN KUNINGAN TIMUR, KECAMATAN SETIABUDI, KOTA JAKARTA SELATAN, PROVINSI DKI JAKARTA</v>
      </c>
      <c r="F112" s="7" t="str">
        <f ca="1">IFERROR(__xludf.DUMMYFUNCTION("""COMPUTED_VALUE"""),"PERSETUJUAN")</f>
        <v>PERSETUJUAN</v>
      </c>
      <c r="G112" s="7" t="str">
        <f ca="1">IFERROR(__xludf.DUMMYFUNCTION("""COMPUTED_VALUE"""),"BERUSAHA")</f>
        <v>BERUSAHA</v>
      </c>
      <c r="H112" s="7" t="str">
        <f ca="1">IFERROR(__xludf.DUMMYFUNCTION("""COMPUTED_VALUE"""),"SULAWESI SELATAN")</f>
        <v>SULAWESI SELATAN</v>
      </c>
      <c r="I112" s="7" t="str">
        <f ca="1">IFERROR(__xludf.DUMMYFUNCTION("""COMPUTED_VALUE"""),"SELAT MAKASSAR")</f>
        <v>SELAT MAKASSAR</v>
      </c>
      <c r="J112" s="7" t="str">
        <f ca="1">IFERROR(__xludf.DUMMYFUNCTION("""COMPUTED_VALUE"""),"TERMINAL KHUSUS")</f>
        <v>TERMINAL KHUSUS</v>
      </c>
      <c r="K112" s="7">
        <f ca="1">IFERROR(__xludf.DUMMYFUNCTION("""COMPUTED_VALUE"""),9.05)</f>
        <v>9.0500000000000007</v>
      </c>
      <c r="L112" s="7" t="str">
        <f ca="1">IFERROR(__xludf.DUMMYFUNCTION("""COMPUTED_VALUE"""),"ha")</f>
        <v>ha</v>
      </c>
      <c r="M112" s="7"/>
      <c r="N112" s="7"/>
      <c r="O112" s="7" t="str">
        <f ca="1">IFERROR(__xludf.DUMMYFUNCTION("""COMPUTED_VALUE"""),"01032410517300003")</f>
        <v>01032410517300003</v>
      </c>
      <c r="P112" s="8">
        <f ca="1">IFERROR(__xludf.DUMMYFUNCTION("""COMPUTED_VALUE"""),45352)</f>
        <v>45352</v>
      </c>
      <c r="Q112" s="8">
        <f ca="1">IFERROR(__xludf.DUMMYFUNCTION("""COMPUTED_VALUE"""),45730)</f>
        <v>45730</v>
      </c>
      <c r="R112" s="7" t="str">
        <f ca="1">IFERROR(__xludf.DUMMYFUNCTION("""COMPUTED_VALUE"""),"Terlambat")</f>
        <v>Terlambat</v>
      </c>
      <c r="S112" s="7"/>
      <c r="T112" s="7"/>
      <c r="U112" s="7"/>
      <c r="V112" s="7"/>
      <c r="W112" s="7"/>
      <c r="X112" s="7"/>
      <c r="Y112" s="7"/>
      <c r="Z112" s="7"/>
      <c r="AA112" s="7" t="str">
        <f ca="1">IFERROR(__xludf.DUMMYFUNCTION("""COMPUTED_VALUE"""),"SP1")</f>
        <v>SP1</v>
      </c>
      <c r="AB112" s="9" t="str">
        <f ca="1">IFERROR(__xludf.DUMMYFUNCTION("""COMPUTED_VALUE"""),"LAPORAN 1 TERLAMBAT")</f>
        <v>LAPORAN 1 TERLAMBAT</v>
      </c>
      <c r="AC112" s="9"/>
      <c r="AD112" s="9"/>
      <c r="AE112" s="9"/>
      <c r="AF112" s="7" t="str">
        <f ca="1">IFERROR(__xludf.DUMMYFUNCTION("""COMPUTED_VALUE"""),"BITUNG")</f>
        <v>BITUNG</v>
      </c>
      <c r="AG112" s="7"/>
      <c r="AH112" s="7"/>
      <c r="AI112" s="7"/>
      <c r="AJ112" s="7"/>
      <c r="AK112" s="6"/>
      <c r="AL112" s="6"/>
      <c r="AM112" s="6"/>
      <c r="AN112" s="6"/>
      <c r="AO112" s="6"/>
    </row>
    <row r="113" spans="1:41" ht="50.5" x14ac:dyDescent="0.3">
      <c r="A113" s="7">
        <f ca="1">IFERROR(__xludf.DUMMYFUNCTION("""COMPUTED_VALUE"""),1604)</f>
        <v>1604</v>
      </c>
      <c r="B113" s="7" t="str">
        <f ca="1">IFERROR(__xludf.DUMMYFUNCTION("""COMPUTED_VALUE"""),"24.13.00162")</f>
        <v>24.13.00162</v>
      </c>
      <c r="C113" s="7" t="str">
        <f ca="1">IFERROR(__xludf.DUMMYFUNCTION("""COMPUTED_VALUE"""),"PT INDOBERKAH JAYA MANDIRI")</f>
        <v>PT INDOBERKAH JAYA MANDIRI</v>
      </c>
      <c r="D113" s="7" t="str">
        <f ca="1">IFERROR(__xludf.DUMMYFUNCTION("""COMPUTED_VALUE"""),"02150105769 / indoberkahjayamandiri18@gmail.com")</f>
        <v>02150105769 / indoberkahjayamandiri18@gmail.com</v>
      </c>
      <c r="E113" s="7" t="str">
        <f ca="1">IFERROR(__xludf.DUMMYFUNCTION("""COMPUTED_VALUE"""),"DISTRICT 8 TREASURY TOWER LT. 52 SCBD LOT. 28, JL. JENDERAL SUDIRMAN KAV. 52-53, KELURAHAN SENAYAN, KECAMATAN KEBAYORAN BARU, KOTA JAKARTA SELATAN, PROVINSI DKI JAKARTA")</f>
        <v>DISTRICT 8 TREASURY TOWER LT. 52 SCBD LOT. 28, JL. JENDERAL SUDIRMAN KAV. 52-53, KELURAHAN SENAYAN, KECAMATAN KEBAYORAN BARU, KOTA JAKARTA SELATAN, PROVINSI DKI JAKARTA</v>
      </c>
      <c r="F113" s="7" t="str">
        <f ca="1">IFERROR(__xludf.DUMMYFUNCTION("""COMPUTED_VALUE"""),"PERSETUJUAN")</f>
        <v>PERSETUJUAN</v>
      </c>
      <c r="G113" s="7" t="str">
        <f ca="1">IFERROR(__xludf.DUMMYFUNCTION("""COMPUTED_VALUE"""),"BERUSAHA")</f>
        <v>BERUSAHA</v>
      </c>
      <c r="H113" s="7" t="str">
        <f ca="1">IFERROR(__xludf.DUMMYFUNCTION("""COMPUTED_VALUE"""),"SULAWESI TENGAH")</f>
        <v>SULAWESI TENGAH</v>
      </c>
      <c r="I113" s="7" t="str">
        <f ca="1">IFERROR(__xludf.DUMMYFUNCTION("""COMPUTED_VALUE"""),"LAUT BANDA")</f>
        <v>LAUT BANDA</v>
      </c>
      <c r="J113" s="7" t="str">
        <f ca="1">IFERROR(__xludf.DUMMYFUNCTION("""COMPUTED_VALUE"""),"TERMINAL KHUSUS")</f>
        <v>TERMINAL KHUSUS</v>
      </c>
      <c r="K113" s="7">
        <f ca="1">IFERROR(__xludf.DUMMYFUNCTION("""COMPUTED_VALUE"""),7.07)</f>
        <v>7.07</v>
      </c>
      <c r="L113" s="7" t="str">
        <f ca="1">IFERROR(__xludf.DUMMYFUNCTION("""COMPUTED_VALUE"""),"ha")</f>
        <v>ha</v>
      </c>
      <c r="M113" s="7"/>
      <c r="N113" s="7"/>
      <c r="O113" s="7" t="str">
        <f ca="1">IFERROR(__xludf.DUMMYFUNCTION("""COMPUTED_VALUE"""),"05032410517200001")</f>
        <v>05032410517200001</v>
      </c>
      <c r="P113" s="8">
        <f ca="1">IFERROR(__xludf.DUMMYFUNCTION("""COMPUTED_VALUE"""),45356)</f>
        <v>45356</v>
      </c>
      <c r="Q113" s="7"/>
      <c r="R113" s="7" t="str">
        <f ca="1">IFERROR(__xludf.DUMMYFUNCTION("""COMPUTED_VALUE"""),"Tidak Menyampaikan Laporan")</f>
        <v>Tidak Menyampaikan Laporan</v>
      </c>
      <c r="S113" s="7"/>
      <c r="T113" s="7"/>
      <c r="U113" s="7"/>
      <c r="V113" s="7"/>
      <c r="W113" s="7"/>
      <c r="X113" s="7"/>
      <c r="Y113" s="7"/>
      <c r="Z113" s="7"/>
      <c r="AA113" s="7" t="str">
        <f ca="1">IFERROR(__xludf.DUMMYFUNCTION("""COMPUTED_VALUE"""),"SP1")</f>
        <v>SP1</v>
      </c>
      <c r="AB113" s="9" t="str">
        <f ca="1">IFERROR(__xludf.DUMMYFUNCTION("""COMPUTED_VALUE"""),"TIDAK MENYAMPAIKAN LAPORAN 1")</f>
        <v>TIDAK MENYAMPAIKAN LAPORAN 1</v>
      </c>
      <c r="AC113" s="9"/>
      <c r="AD113" s="9"/>
      <c r="AE113" s="9"/>
      <c r="AF113" s="7" t="str">
        <f ca="1">IFERROR(__xludf.DUMMYFUNCTION("""COMPUTED_VALUE"""),"BITUNG")</f>
        <v>BITUNG</v>
      </c>
      <c r="AG113" s="7"/>
      <c r="AH113" s="7"/>
      <c r="AI113" s="7"/>
      <c r="AJ113" s="7"/>
      <c r="AK113" s="6"/>
      <c r="AL113" s="6"/>
      <c r="AM113" s="6"/>
      <c r="AN113" s="6"/>
      <c r="AO113" s="6"/>
    </row>
    <row r="114" spans="1:41" ht="25.5" x14ac:dyDescent="0.3">
      <c r="A114" s="7">
        <f ca="1">IFERROR(__xludf.DUMMYFUNCTION("""COMPUTED_VALUE"""),1605)</f>
        <v>1605</v>
      </c>
      <c r="B114" s="7" t="str">
        <f ca="1">IFERROR(__xludf.DUMMYFUNCTION("""COMPUTED_VALUE"""),"24.13.00163")</f>
        <v>24.13.00163</v>
      </c>
      <c r="C114" s="7" t="str">
        <f ca="1">IFERROR(__xludf.DUMMYFUNCTION("""COMPUTED_VALUE"""),"PT TOTAL PRIMA INDONESIA")</f>
        <v>PT TOTAL PRIMA INDONESIA</v>
      </c>
      <c r="D114" s="7" t="str">
        <f ca="1">IFERROR(__xludf.DUMMYFUNCTION("""COMPUTED_VALUE"""),"081803230927 / mgmttpi02@gmail.com")</f>
        <v>081803230927 / mgmttpi02@gmail.com</v>
      </c>
      <c r="E114" s="7" t="str">
        <f ca="1">IFERROR(__xludf.DUMMYFUNCTION("""COMPUTED_VALUE"""),"JL. TRANS SULAWESI IPI-BUNGKU TENGAH, DESA IPI, KECAMATAN BUNGKU TENGAH, KABUPATEN MOROWALI, PROVINSI SULAWESI TENGAH")</f>
        <v>JL. TRANS SULAWESI IPI-BUNGKU TENGAH, DESA IPI, KECAMATAN BUNGKU TENGAH, KABUPATEN MOROWALI, PROVINSI SULAWESI TENGAH</v>
      </c>
      <c r="F114" s="7" t="str">
        <f ca="1">IFERROR(__xludf.DUMMYFUNCTION("""COMPUTED_VALUE"""),"PERSETUJUAN")</f>
        <v>PERSETUJUAN</v>
      </c>
      <c r="G114" s="7" t="str">
        <f ca="1">IFERROR(__xludf.DUMMYFUNCTION("""COMPUTED_VALUE"""),"BERUSAHA")</f>
        <v>BERUSAHA</v>
      </c>
      <c r="H114" s="7" t="str">
        <f ca="1">IFERROR(__xludf.DUMMYFUNCTION("""COMPUTED_VALUE"""),"SULAWESI TENGAH")</f>
        <v>SULAWESI TENGAH</v>
      </c>
      <c r="I114" s="7" t="str">
        <f ca="1">IFERROR(__xludf.DUMMYFUNCTION("""COMPUTED_VALUE"""),"LAUT BANDA")</f>
        <v>LAUT BANDA</v>
      </c>
      <c r="J114" s="7" t="str">
        <f ca="1">IFERROR(__xludf.DUMMYFUNCTION("""COMPUTED_VALUE"""),"TERMINAL KHUSUS")</f>
        <v>TERMINAL KHUSUS</v>
      </c>
      <c r="K114" s="7">
        <f ca="1">IFERROR(__xludf.DUMMYFUNCTION("""COMPUTED_VALUE"""),20.58)</f>
        <v>20.58</v>
      </c>
      <c r="L114" s="7" t="str">
        <f ca="1">IFERROR(__xludf.DUMMYFUNCTION("""COMPUTED_VALUE"""),"ha")</f>
        <v>ha</v>
      </c>
      <c r="M114" s="7"/>
      <c r="N114" s="7"/>
      <c r="O114" s="7" t="str">
        <f ca="1">IFERROR(__xludf.DUMMYFUNCTION("""COMPUTED_VALUE"""),"05032410517200002")</f>
        <v>05032410517200002</v>
      </c>
      <c r="P114" s="8">
        <f ca="1">IFERROR(__xludf.DUMMYFUNCTION("""COMPUTED_VALUE"""),45356)</f>
        <v>45356</v>
      </c>
      <c r="Q114" s="8">
        <f ca="1">IFERROR(__xludf.DUMMYFUNCTION("""COMPUTED_VALUE"""),45756)</f>
        <v>45756</v>
      </c>
      <c r="R114" s="7" t="str">
        <f ca="1">IFERROR(__xludf.DUMMYFUNCTION("""COMPUTED_VALUE"""),"Terlambat")</f>
        <v>Terlambat</v>
      </c>
      <c r="S114" s="7"/>
      <c r="T114" s="7"/>
      <c r="U114" s="7"/>
      <c r="V114" s="7"/>
      <c r="W114" s="7"/>
      <c r="X114" s="7"/>
      <c r="Y114" s="7"/>
      <c r="Z114" s="7"/>
      <c r="AA114" s="7" t="str">
        <f ca="1">IFERROR(__xludf.DUMMYFUNCTION("""COMPUTED_VALUE"""),"SP1")</f>
        <v>SP1</v>
      </c>
      <c r="AB114" s="9" t="str">
        <f ca="1">IFERROR(__xludf.DUMMYFUNCTION("""COMPUTED_VALUE"""),"LAPORAN 1 TERLAMBAT")</f>
        <v>LAPORAN 1 TERLAMBAT</v>
      </c>
      <c r="AC114" s="9"/>
      <c r="AD114" s="9"/>
      <c r="AE114" s="11"/>
      <c r="AF114" s="7" t="str">
        <f ca="1">IFERROR(__xludf.DUMMYFUNCTION("""COMPUTED_VALUE"""),"BITUNG")</f>
        <v>BITUNG</v>
      </c>
      <c r="AG114" s="8"/>
      <c r="AH114" s="7"/>
      <c r="AI114" s="7"/>
      <c r="AJ114" s="7"/>
      <c r="AK114" s="6"/>
      <c r="AL114" s="6"/>
      <c r="AM114" s="6"/>
      <c r="AN114" s="6"/>
      <c r="AO114" s="6"/>
    </row>
    <row r="115" spans="1:41" ht="50.5" x14ac:dyDescent="0.3">
      <c r="A115" s="7">
        <f ca="1">IFERROR(__xludf.DUMMYFUNCTION("""COMPUTED_VALUE"""),1614)</f>
        <v>1614</v>
      </c>
      <c r="B115" s="7" t="str">
        <f ca="1">IFERROR(__xludf.DUMMYFUNCTION("""COMPUTED_VALUE"""),"24.13.00115")</f>
        <v>24.13.00115</v>
      </c>
      <c r="C115" s="7" t="str">
        <f ca="1">IFERROR(__xludf.DUMMYFUNCTION("""COMPUTED_VALUE"""),"PT PACIFIK SUKSES JAYA")</f>
        <v>PT PACIFIK SUKSES JAYA</v>
      </c>
      <c r="D115" s="7" t="str">
        <f ca="1">IFERROR(__xludf.DUMMYFUNCTION("""COMPUTED_VALUE"""),"081341598888 - ")</f>
        <v xml:space="preserve">081341598888 - </v>
      </c>
      <c r="E115" s="7" t="str">
        <f ca="1">IFERROR(__xludf.DUMMYFUNCTION("""COMPUTED_VALUE"""),"JL. M.T. HARYONO NO. 25 J, KOTA KENDARI, PROVINSI SULAWESI TENGGARA")</f>
        <v>JL. M.T. HARYONO NO. 25 J, KOTA KENDARI, PROVINSI SULAWESI TENGGARA</v>
      </c>
      <c r="F115" s="7" t="str">
        <f ca="1">IFERROR(__xludf.DUMMYFUNCTION("""COMPUTED_VALUE"""),"PERSETUJUAN")</f>
        <v>PERSETUJUAN</v>
      </c>
      <c r="G115" s="7" t="str">
        <f ca="1">IFERROR(__xludf.DUMMYFUNCTION("""COMPUTED_VALUE"""),"BERUSAHA")</f>
        <v>BERUSAHA</v>
      </c>
      <c r="H115" s="7" t="str">
        <f ca="1">IFERROR(__xludf.DUMMYFUNCTION("""COMPUTED_VALUE"""),"SULAWESI TENGGARA")</f>
        <v>SULAWESI TENGGARA</v>
      </c>
      <c r="I115" s="7" t="str">
        <f ca="1">IFERROR(__xludf.DUMMYFUNCTION("""COMPUTED_VALUE"""),"LAUT BANDA")</f>
        <v>LAUT BANDA</v>
      </c>
      <c r="J115" s="7" t="str">
        <f ca="1">IFERROR(__xludf.DUMMYFUNCTION("""COMPUTED_VALUE"""),"TERMINAL KHUSUS")</f>
        <v>TERMINAL KHUSUS</v>
      </c>
      <c r="K115" s="7">
        <f ca="1">IFERROR(__xludf.DUMMYFUNCTION("""COMPUTED_VALUE"""),5.47)</f>
        <v>5.47</v>
      </c>
      <c r="L115" s="7" t="str">
        <f ca="1">IFERROR(__xludf.DUMMYFUNCTION("""COMPUTED_VALUE"""),"ha")</f>
        <v>ha</v>
      </c>
      <c r="M115" s="7"/>
      <c r="N115" s="7"/>
      <c r="O115" s="7" t="str">
        <f ca="1">IFERROR(__xludf.DUMMYFUNCTION("""COMPUTED_VALUE"""),"13032410517400001")</f>
        <v>13032410517400001</v>
      </c>
      <c r="P115" s="8">
        <f ca="1">IFERROR(__xludf.DUMMYFUNCTION("""COMPUTED_VALUE"""),45364)</f>
        <v>45364</v>
      </c>
      <c r="Q115" s="7"/>
      <c r="R115" s="7" t="str">
        <f ca="1">IFERROR(__xludf.DUMMYFUNCTION("""COMPUTED_VALUE"""),"Tidak Menyampaikan Laporan")</f>
        <v>Tidak Menyampaikan Laporan</v>
      </c>
      <c r="S115" s="7"/>
      <c r="T115" s="7"/>
      <c r="U115" s="7"/>
      <c r="V115" s="7"/>
      <c r="W115" s="7"/>
      <c r="X115" s="7"/>
      <c r="Y115" s="7"/>
      <c r="Z115" s="7"/>
      <c r="AA115" s="7" t="str">
        <f ca="1">IFERROR(__xludf.DUMMYFUNCTION("""COMPUTED_VALUE"""),"SP1")</f>
        <v>SP1</v>
      </c>
      <c r="AB115" s="9" t="str">
        <f ca="1">IFERROR(__xludf.DUMMYFUNCTION("""COMPUTED_VALUE"""),"TIDAK MENYAMPAIKAN LAPORAN 1")</f>
        <v>TIDAK MENYAMPAIKAN LAPORAN 1</v>
      </c>
      <c r="AC115" s="9"/>
      <c r="AD115" s="9"/>
      <c r="AE115" s="9"/>
      <c r="AF115" s="7" t="str">
        <f ca="1">IFERROR(__xludf.DUMMYFUNCTION("""COMPUTED_VALUE"""),"BITUNG")</f>
        <v>BITUNG</v>
      </c>
      <c r="AG115" s="7"/>
      <c r="AH115" s="7"/>
      <c r="AI115" s="7"/>
      <c r="AJ115" s="7"/>
      <c r="AK115" s="6"/>
      <c r="AL115" s="6"/>
      <c r="AM115" s="6"/>
      <c r="AN115" s="6"/>
      <c r="AO115" s="6"/>
    </row>
    <row r="116" spans="1:41" ht="25.5" x14ac:dyDescent="0.3">
      <c r="A116" s="7">
        <f ca="1">IFERROR(__xludf.DUMMYFUNCTION("""COMPUTED_VALUE"""),1627)</f>
        <v>1627</v>
      </c>
      <c r="B116" s="7" t="str">
        <f ca="1">IFERROR(__xludf.DUMMYFUNCTION("""COMPUTED_VALUE"""),"24.13.00196")</f>
        <v>24.13.00196</v>
      </c>
      <c r="C116" s="7" t="str">
        <f ca="1">IFERROR(__xludf.DUMMYFUNCTION("""COMPUTED_VALUE"""),"PT CERIA NUGRAHA INDOTAMA")</f>
        <v>PT CERIA NUGRAHA INDOTAMA</v>
      </c>
      <c r="D116" s="7" t="str">
        <f ca="1">IFERROR(__xludf.DUMMYFUNCTION("""COMPUTED_VALUE"""),"02122769323 / Ceria@cerindocorp.com")</f>
        <v>02122769323 / Ceria@cerindocorp.com</v>
      </c>
      <c r="E116" s="7" t="str">
        <f ca="1">IFERROR(__xludf.DUMMYFUNCTION("""COMPUTED_VALUE"""),"JL. ALAM MEKONGGA NO. 8, DESA LALOEHA, KECAMATAN KOLAKA, KABUPATEN KOLAKA, PROVINSI SULAWESI TENGGARA")</f>
        <v>JL. ALAM MEKONGGA NO. 8, DESA LALOEHA, KECAMATAN KOLAKA, KABUPATEN KOLAKA, PROVINSI SULAWESI TENGGARA</v>
      </c>
      <c r="F116" s="7" t="str">
        <f ca="1">IFERROR(__xludf.DUMMYFUNCTION("""COMPUTED_VALUE"""),"PERSETUJUAN")</f>
        <v>PERSETUJUAN</v>
      </c>
      <c r="G116" s="7" t="str">
        <f ca="1">IFERROR(__xludf.DUMMYFUNCTION("""COMPUTED_VALUE"""),"BERUSAHA")</f>
        <v>BERUSAHA</v>
      </c>
      <c r="H116" s="7" t="str">
        <f ca="1">IFERROR(__xludf.DUMMYFUNCTION("""COMPUTED_VALUE"""),"SULAWESI TENGGARA")</f>
        <v>SULAWESI TENGGARA</v>
      </c>
      <c r="I116" s="7" t="str">
        <f ca="1">IFERROR(__xludf.DUMMYFUNCTION("""COMPUTED_VALUE"""),"TELUK BONE")</f>
        <v>TELUK BONE</v>
      </c>
      <c r="J116" s="7" t="str">
        <f ca="1">IFERROR(__xludf.DUMMYFUNCTION("""COMPUTED_VALUE"""),"TERMINAL KHUSUS")</f>
        <v>TERMINAL KHUSUS</v>
      </c>
      <c r="K116" s="7">
        <f ca="1">IFERROR(__xludf.DUMMYFUNCTION("""COMPUTED_VALUE"""),13.71)</f>
        <v>13.71</v>
      </c>
      <c r="L116" s="7" t="str">
        <f ca="1">IFERROR(__xludf.DUMMYFUNCTION("""COMPUTED_VALUE"""),"ha")</f>
        <v>ha</v>
      </c>
      <c r="M116" s="7"/>
      <c r="N116" s="7"/>
      <c r="O116" s="7" t="str">
        <f ca="1">IFERROR(__xludf.DUMMYFUNCTION("""COMPUTED_VALUE"""),"18032410517400002")</f>
        <v>18032410517400002</v>
      </c>
      <c r="P116" s="8">
        <f ca="1">IFERROR(__xludf.DUMMYFUNCTION("""COMPUTED_VALUE"""),45369)</f>
        <v>45369</v>
      </c>
      <c r="Q116" s="8">
        <f ca="1">IFERROR(__xludf.DUMMYFUNCTION("""COMPUTED_VALUE"""),45744)</f>
        <v>45744</v>
      </c>
      <c r="R116" s="7" t="str">
        <f ca="1">IFERROR(__xludf.DUMMYFUNCTION("""COMPUTED_VALUE"""),"Terlambat")</f>
        <v>Terlambat</v>
      </c>
      <c r="S116" s="7"/>
      <c r="T116" s="7"/>
      <c r="U116" s="7"/>
      <c r="V116" s="7"/>
      <c r="W116" s="7"/>
      <c r="X116" s="7"/>
      <c r="Y116" s="7"/>
      <c r="Z116" s="7"/>
      <c r="AA116" s="7" t="str">
        <f ca="1">IFERROR(__xludf.DUMMYFUNCTION("""COMPUTED_VALUE"""),"SP1")</f>
        <v>SP1</v>
      </c>
      <c r="AB116" s="9" t="str">
        <f ca="1">IFERROR(__xludf.DUMMYFUNCTION("""COMPUTED_VALUE"""),"LAPORAN 1 TERLAMBAT")</f>
        <v>LAPORAN 1 TERLAMBAT</v>
      </c>
      <c r="AC116" s="9"/>
      <c r="AD116" s="9"/>
      <c r="AE116" s="11"/>
      <c r="AF116" s="7" t="str">
        <f ca="1">IFERROR(__xludf.DUMMYFUNCTION("""COMPUTED_VALUE"""),"BITUNG")</f>
        <v>BITUNG</v>
      </c>
      <c r="AG116" s="7" t="str">
        <f ca="1">IFERROR(__xludf.DUMMYFUNCTION("""COMPUTED_VALUE"""),"SP2")</f>
        <v>SP2</v>
      </c>
      <c r="AH116" s="7"/>
      <c r="AI116" s="7"/>
      <c r="AJ116" s="7"/>
      <c r="AK116" s="6"/>
      <c r="AL116" s="6"/>
      <c r="AM116" s="6"/>
      <c r="AN116" s="6"/>
      <c r="AO116" s="6"/>
    </row>
    <row r="117" spans="1:41" ht="25.5" x14ac:dyDescent="0.3">
      <c r="A117" s="7">
        <f ca="1">IFERROR(__xludf.DUMMYFUNCTION("""COMPUTED_VALUE"""),1628)</f>
        <v>1628</v>
      </c>
      <c r="B117" s="7" t="str">
        <f ca="1">IFERROR(__xludf.DUMMYFUNCTION("""COMPUTED_VALUE"""),"24.13.00197")</f>
        <v>24.13.00197</v>
      </c>
      <c r="C117" s="7" t="str">
        <f ca="1">IFERROR(__xludf.DUMMYFUNCTION("""COMPUTED_VALUE"""),"PT CERIA NUGRAHA INDOTAMA")</f>
        <v>PT CERIA NUGRAHA INDOTAMA</v>
      </c>
      <c r="D117" s="7" t="str">
        <f ca="1">IFERROR(__xludf.DUMMYFUNCTION("""COMPUTED_VALUE"""),"02122769324 / Ceria@cerindocorp.com")</f>
        <v>02122769324 / Ceria@cerindocorp.com</v>
      </c>
      <c r="E117" s="7" t="str">
        <f ca="1">IFERROR(__xludf.DUMMYFUNCTION("""COMPUTED_VALUE"""),"JL. ALAM MEKONGGA NO. 8, DESA LALOEHA, KECAMATAN KOLAKA, KABUPATEN KOLAKA, PROVINSI SULAWESI TENGGARA")</f>
        <v>JL. ALAM MEKONGGA NO. 8, DESA LALOEHA, KECAMATAN KOLAKA, KABUPATEN KOLAKA, PROVINSI SULAWESI TENGGARA</v>
      </c>
      <c r="F117" s="7" t="str">
        <f ca="1">IFERROR(__xludf.DUMMYFUNCTION("""COMPUTED_VALUE"""),"PERSETUJUAN")</f>
        <v>PERSETUJUAN</v>
      </c>
      <c r="G117" s="7" t="str">
        <f ca="1">IFERROR(__xludf.DUMMYFUNCTION("""COMPUTED_VALUE"""),"BERUSAHA")</f>
        <v>BERUSAHA</v>
      </c>
      <c r="H117" s="7" t="str">
        <f ca="1">IFERROR(__xludf.DUMMYFUNCTION("""COMPUTED_VALUE"""),"SULAWESI TENGGARA")</f>
        <v>SULAWESI TENGGARA</v>
      </c>
      <c r="I117" s="7" t="str">
        <f ca="1">IFERROR(__xludf.DUMMYFUNCTION("""COMPUTED_VALUE"""),"TELUK BONE")</f>
        <v>TELUK BONE</v>
      </c>
      <c r="J117" s="7" t="str">
        <f ca="1">IFERROR(__xludf.DUMMYFUNCTION("""COMPUTED_VALUE"""),"TERMINAL KHUSUS")</f>
        <v>TERMINAL KHUSUS</v>
      </c>
      <c r="K117" s="7">
        <f ca="1">IFERROR(__xludf.DUMMYFUNCTION("""COMPUTED_VALUE"""),18.67)</f>
        <v>18.670000000000002</v>
      </c>
      <c r="L117" s="7" t="str">
        <f ca="1">IFERROR(__xludf.DUMMYFUNCTION("""COMPUTED_VALUE"""),"ha")</f>
        <v>ha</v>
      </c>
      <c r="M117" s="7"/>
      <c r="N117" s="7"/>
      <c r="O117" s="7" t="str">
        <f ca="1">IFERROR(__xludf.DUMMYFUNCTION("""COMPUTED_VALUE"""),"18032410517400003")</f>
        <v>18032410517400003</v>
      </c>
      <c r="P117" s="8">
        <f ca="1">IFERROR(__xludf.DUMMYFUNCTION("""COMPUTED_VALUE"""),45369)</f>
        <v>45369</v>
      </c>
      <c r="Q117" s="8">
        <f ca="1">IFERROR(__xludf.DUMMYFUNCTION("""COMPUTED_VALUE"""),45737)</f>
        <v>45737</v>
      </c>
      <c r="R117" s="7" t="str">
        <f ca="1">IFERROR(__xludf.DUMMYFUNCTION("""COMPUTED_VALUE"""),"Terlambat")</f>
        <v>Terlambat</v>
      </c>
      <c r="S117" s="7"/>
      <c r="T117" s="7"/>
      <c r="U117" s="7"/>
      <c r="V117" s="7"/>
      <c r="W117" s="7"/>
      <c r="X117" s="7"/>
      <c r="Y117" s="7"/>
      <c r="Z117" s="7"/>
      <c r="AA117" s="7" t="str">
        <f ca="1">IFERROR(__xludf.DUMMYFUNCTION("""COMPUTED_VALUE"""),"SP1")</f>
        <v>SP1</v>
      </c>
      <c r="AB117" s="9" t="str">
        <f ca="1">IFERROR(__xludf.DUMMYFUNCTION("""COMPUTED_VALUE"""),"LAPORAN 1 TERLAMBAT")</f>
        <v>LAPORAN 1 TERLAMBAT</v>
      </c>
      <c r="AC117" s="9"/>
      <c r="AD117" s="9"/>
      <c r="AE117" s="11"/>
      <c r="AF117" s="7" t="str">
        <f ca="1">IFERROR(__xludf.DUMMYFUNCTION("""COMPUTED_VALUE"""),"BITUNG")</f>
        <v>BITUNG</v>
      </c>
      <c r="AG117" s="7" t="str">
        <f ca="1">IFERROR(__xludf.DUMMYFUNCTION("""COMPUTED_VALUE"""),"SP2")</f>
        <v>SP2</v>
      </c>
      <c r="AH117" s="7"/>
      <c r="AI117" s="7"/>
      <c r="AJ117" s="7"/>
      <c r="AK117" s="6"/>
      <c r="AL117" s="6"/>
      <c r="AM117" s="6"/>
      <c r="AN117" s="6"/>
      <c r="AO117" s="6"/>
    </row>
    <row r="118" spans="1:41" ht="50.5" x14ac:dyDescent="0.3">
      <c r="A118" s="7">
        <f ca="1">IFERROR(__xludf.DUMMYFUNCTION("""COMPUTED_VALUE"""),1636)</f>
        <v>1636</v>
      </c>
      <c r="B118" s="7" t="str">
        <f ca="1">IFERROR(__xludf.DUMMYFUNCTION("""COMPUTED_VALUE"""),"24.13.00216")</f>
        <v>24.13.00216</v>
      </c>
      <c r="C118" s="7" t="str">
        <f ca="1">IFERROR(__xludf.DUMMYFUNCTION("""COMPUTED_VALUE"""),"PT SUMBER DAYA ENERGI")</f>
        <v>PT SUMBER DAYA ENERGI</v>
      </c>
      <c r="D118" s="7" t="str">
        <f ca="1">IFERROR(__xludf.DUMMYFUNCTION("""COMPUTED_VALUE"""),"02139830155 / sdelicensing@sdeasia.net")</f>
        <v>02139830155 / sdelicensing@sdeasia.net</v>
      </c>
      <c r="E118" s="7" t="str">
        <f ca="1">IFERROR(__xludf.DUMMYFUNCTION("""COMPUTED_VALUE"""),"GEDUNG GRAHA BINTANG, JL. CIKINI RAYA NO. 55, KELURAHAN CIKINI, KECAMATAN MENTENG, KOTA JAKARTA PUSAT, PROVINSI DKI JAKARTA")</f>
        <v>GEDUNG GRAHA BINTANG, JL. CIKINI RAYA NO. 55, KELURAHAN CIKINI, KECAMATAN MENTENG, KOTA JAKARTA PUSAT, PROVINSI DKI JAKARTA</v>
      </c>
      <c r="F118" s="7" t="str">
        <f ca="1">IFERROR(__xludf.DUMMYFUNCTION("""COMPUTED_VALUE"""),"PERSETUJUAN")</f>
        <v>PERSETUJUAN</v>
      </c>
      <c r="G118" s="7" t="str">
        <f ca="1">IFERROR(__xludf.DUMMYFUNCTION("""COMPUTED_VALUE"""),"BERUSAHA")</f>
        <v>BERUSAHA</v>
      </c>
      <c r="H118" s="7" t="str">
        <f ca="1">IFERROR(__xludf.DUMMYFUNCTION("""COMPUTED_VALUE"""),"DIATAS 12 MIL LAUT")</f>
        <v>DIATAS 12 MIL LAUT</v>
      </c>
      <c r="I118" s="7" t="str">
        <f ca="1">IFERROR(__xludf.DUMMYFUNCTION("""COMPUTED_VALUE"""),"SELAT MAKASSAR")</f>
        <v>SELAT MAKASSAR</v>
      </c>
      <c r="J118" s="7" t="str">
        <f ca="1">IFERROR(__xludf.DUMMYFUNCTION("""COMPUTED_VALUE"""),"AREA ALIH MUAT ANTAR KAPAL (TRANSSHIPMENT POINT/SHIP TO SHIP TRANSFER)")</f>
        <v>AREA ALIH MUAT ANTAR KAPAL (TRANSSHIPMENT POINT/SHIP TO SHIP TRANSFER)</v>
      </c>
      <c r="K118" s="7">
        <f ca="1">IFERROR(__xludf.DUMMYFUNCTION("""COMPUTED_VALUE"""),962.91)</f>
        <v>962.91</v>
      </c>
      <c r="L118" s="7" t="str">
        <f ca="1">IFERROR(__xludf.DUMMYFUNCTION("""COMPUTED_VALUE"""),"ha")</f>
        <v>ha</v>
      </c>
      <c r="M118" s="7"/>
      <c r="N118" s="7"/>
      <c r="O118" s="7" t="str">
        <f ca="1">IFERROR(__xludf.DUMMYFUNCTION("""COMPUTED_VALUE"""),"19032410516300001")</f>
        <v>19032410516300001</v>
      </c>
      <c r="P118" s="8">
        <f ca="1">IFERROR(__xludf.DUMMYFUNCTION("""COMPUTED_VALUE"""),45370)</f>
        <v>45370</v>
      </c>
      <c r="Q118" s="7"/>
      <c r="R118" s="7" t="str">
        <f ca="1">IFERROR(__xludf.DUMMYFUNCTION("""COMPUTED_VALUE"""),"Tidak Menyampaikan Laporan")</f>
        <v>Tidak Menyampaikan Laporan</v>
      </c>
      <c r="S118" s="7"/>
      <c r="T118" s="7"/>
      <c r="U118" s="7"/>
      <c r="V118" s="7"/>
      <c r="W118" s="7"/>
      <c r="X118" s="7"/>
      <c r="Y118" s="7"/>
      <c r="Z118" s="7"/>
      <c r="AA118" s="7" t="str">
        <f ca="1">IFERROR(__xludf.DUMMYFUNCTION("""COMPUTED_VALUE"""),"SP1")</f>
        <v>SP1</v>
      </c>
      <c r="AB118" s="9" t="str">
        <f ca="1">IFERROR(__xludf.DUMMYFUNCTION("""COMPUTED_VALUE"""),"TIDAK MENYAMPAIKAN LAPORAN 1")</f>
        <v>TIDAK MENYAMPAIKAN LAPORAN 1</v>
      </c>
      <c r="AC118" s="9"/>
      <c r="AD118" s="9"/>
      <c r="AE118" s="9"/>
      <c r="AF118" s="7" t="str">
        <f ca="1">IFERROR(__xludf.DUMMYFUNCTION("""COMPUTED_VALUE"""),"BITUNG")</f>
        <v>BITUNG</v>
      </c>
      <c r="AG118" s="7"/>
      <c r="AH118" s="7"/>
      <c r="AI118" s="7"/>
      <c r="AJ118" s="7"/>
      <c r="AK118" s="6"/>
      <c r="AL118" s="6"/>
      <c r="AM118" s="6"/>
      <c r="AN118" s="6"/>
      <c r="AO118" s="6"/>
    </row>
    <row r="119" spans="1:41" ht="50.5" x14ac:dyDescent="0.3">
      <c r="A119" s="7">
        <f ca="1">IFERROR(__xludf.DUMMYFUNCTION("""COMPUTED_VALUE"""),1640)</f>
        <v>1640</v>
      </c>
      <c r="B119" s="7" t="str">
        <f ca="1">IFERROR(__xludf.DUMMYFUNCTION("""COMPUTED_VALUE"""),"24.13.00229")</f>
        <v>24.13.00229</v>
      </c>
      <c r="C119" s="7" t="str">
        <f ca="1">IFERROR(__xludf.DUMMYFUNCTION("""COMPUTED_VALUE"""),"PT BUMI KONAWE ABADI")</f>
        <v>PT BUMI KONAWE ABADI</v>
      </c>
      <c r="D119" s="7" t="str">
        <f ca="1">IFERROR(__xludf.DUMMYFUNCTION("""COMPUTED_VALUE"""),"021-5153533 / pt.bumikonaweabadi@gmail.com")</f>
        <v>021-5153533 / pt.bumikonaweabadi@gmail.com</v>
      </c>
      <c r="E119" s="7" t="str">
        <f ca="1">IFERROR(__xludf.DUMMYFUNCTION("""COMPUTED_VALUE"""),"JL. MALIK RAYA NO. 39, KELURAHAN KORUMBA, KECAMATAN MANDONGA, KOTA KENDARI, PROVINSI SULAWESI TENGGARA")</f>
        <v>JL. MALIK RAYA NO. 39, KELURAHAN KORUMBA, KECAMATAN MANDONGA, KOTA KENDARI, PROVINSI SULAWESI TENGGARA</v>
      </c>
      <c r="F119" s="7" t="str">
        <f ca="1">IFERROR(__xludf.DUMMYFUNCTION("""COMPUTED_VALUE"""),"PERSETUJUAN")</f>
        <v>PERSETUJUAN</v>
      </c>
      <c r="G119" s="7" t="str">
        <f ca="1">IFERROR(__xludf.DUMMYFUNCTION("""COMPUTED_VALUE"""),"BERUSAHA")</f>
        <v>BERUSAHA</v>
      </c>
      <c r="H119" s="7" t="str">
        <f ca="1">IFERROR(__xludf.DUMMYFUNCTION("""COMPUTED_VALUE"""),"SULAWESI TENGGARA")</f>
        <v>SULAWESI TENGGARA</v>
      </c>
      <c r="I119" s="7" t="str">
        <f ca="1">IFERROR(__xludf.DUMMYFUNCTION("""COMPUTED_VALUE"""),"LAUT BANDA")</f>
        <v>LAUT BANDA</v>
      </c>
      <c r="J119" s="7" t="str">
        <f ca="1">IFERROR(__xludf.DUMMYFUNCTION("""COMPUTED_VALUE"""),"TERMINAL KHUSUS")</f>
        <v>TERMINAL KHUSUS</v>
      </c>
      <c r="K119" s="7">
        <f ca="1">IFERROR(__xludf.DUMMYFUNCTION("""COMPUTED_VALUE"""),14.27)</f>
        <v>14.27</v>
      </c>
      <c r="L119" s="7" t="str">
        <f ca="1">IFERROR(__xludf.DUMMYFUNCTION("""COMPUTED_VALUE"""),"ha")</f>
        <v>ha</v>
      </c>
      <c r="M119" s="7"/>
      <c r="N119" s="7"/>
      <c r="O119" s="7" t="str">
        <f ca="1">IFERROR(__xludf.DUMMYFUNCTION("""COMPUTED_VALUE"""),"20032410517400001")</f>
        <v>20032410517400001</v>
      </c>
      <c r="P119" s="8">
        <f ca="1">IFERROR(__xludf.DUMMYFUNCTION("""COMPUTED_VALUE"""),45371)</f>
        <v>45371</v>
      </c>
      <c r="Q119" s="7"/>
      <c r="R119" s="7" t="str">
        <f ca="1">IFERROR(__xludf.DUMMYFUNCTION("""COMPUTED_VALUE"""),"Tidak Menyampaikan Laporan")</f>
        <v>Tidak Menyampaikan Laporan</v>
      </c>
      <c r="S119" s="7"/>
      <c r="T119" s="7"/>
      <c r="U119" s="7"/>
      <c r="V119" s="7"/>
      <c r="W119" s="7"/>
      <c r="X119" s="7"/>
      <c r="Y119" s="7"/>
      <c r="Z119" s="7"/>
      <c r="AA119" s="7" t="str">
        <f ca="1">IFERROR(__xludf.DUMMYFUNCTION("""COMPUTED_VALUE"""),"SP1")</f>
        <v>SP1</v>
      </c>
      <c r="AB119" s="9" t="str">
        <f ca="1">IFERROR(__xludf.DUMMYFUNCTION("""COMPUTED_VALUE"""),"TIDAK MENYAMPAIKAN LAPORAN 1")</f>
        <v>TIDAK MENYAMPAIKAN LAPORAN 1</v>
      </c>
      <c r="AC119" s="9"/>
      <c r="AD119" s="9"/>
      <c r="AE119" s="9"/>
      <c r="AF119" s="7" t="str">
        <f ca="1">IFERROR(__xludf.DUMMYFUNCTION("""COMPUTED_VALUE"""),"BITUNG")</f>
        <v>BITUNG</v>
      </c>
      <c r="AG119" s="7"/>
      <c r="AH119" s="7"/>
      <c r="AI119" s="7"/>
      <c r="AJ119" s="7"/>
      <c r="AK119" s="6"/>
      <c r="AL119" s="6"/>
      <c r="AM119" s="6"/>
      <c r="AN119" s="6"/>
      <c r="AO119" s="6"/>
    </row>
    <row r="120" spans="1:41" ht="50.5" x14ac:dyDescent="0.3">
      <c r="A120" s="7">
        <f ca="1">IFERROR(__xludf.DUMMYFUNCTION("""COMPUTED_VALUE"""),1645)</f>
        <v>1645</v>
      </c>
      <c r="B120" s="7" t="str">
        <f ca="1">IFERROR(__xludf.DUMMYFUNCTION("""COMPUTED_VALUE"""),"23.13.00788")</f>
        <v>23.13.00788</v>
      </c>
      <c r="C120" s="7" t="str">
        <f ca="1">IFERROR(__xludf.DUMMYFUNCTION("""COMPUTED_VALUE"""),"PT SEMEN BOSOWA MAROS")</f>
        <v>PT SEMEN BOSOWA MAROS</v>
      </c>
      <c r="D120" s="7" t="str">
        <f ca="1">IFERROR(__xludf.DUMMYFUNCTION("""COMPUTED_VALUE"""),"0411372372 / crm@semenbosowa.co.id")</f>
        <v>0411372372 / crm@semenbosowa.co.id</v>
      </c>
      <c r="E120" s="7" t="str">
        <f ca="1">IFERROR(__xludf.DUMMYFUNCTION("""COMPUTED_VALUE"""),"DESA BARUGA, KECAMATAN BANTIMURUNG, KABUPATEN MAROS, PROVINSI SULAWESI SELATAN")</f>
        <v>DESA BARUGA, KECAMATAN BANTIMURUNG, KABUPATEN MAROS, PROVINSI SULAWESI SELATAN</v>
      </c>
      <c r="F120" s="7" t="str">
        <f ca="1">IFERROR(__xludf.DUMMYFUNCTION("""COMPUTED_VALUE"""),"PERSETUJUAN")</f>
        <v>PERSETUJUAN</v>
      </c>
      <c r="G120" s="7" t="str">
        <f ca="1">IFERROR(__xludf.DUMMYFUNCTION("""COMPUTED_VALUE"""),"BERUSAHA")</f>
        <v>BERUSAHA</v>
      </c>
      <c r="H120" s="7" t="str">
        <f ca="1">IFERROR(__xludf.DUMMYFUNCTION("""COMPUTED_VALUE"""),"SULAWESI SELATAN")</f>
        <v>SULAWESI SELATAN</v>
      </c>
      <c r="I120" s="7" t="str">
        <f ca="1">IFERROR(__xludf.DUMMYFUNCTION("""COMPUTED_VALUE"""),"SELAT MAKASSAR")</f>
        <v>SELAT MAKASSAR</v>
      </c>
      <c r="J120" s="7" t="str">
        <f ca="1">IFERROR(__xludf.DUMMYFUNCTION("""COMPUTED_VALUE"""),"PEMBANGUNAN TERMINAL KHUSUS")</f>
        <v>PEMBANGUNAN TERMINAL KHUSUS</v>
      </c>
      <c r="K120" s="7">
        <f ca="1">IFERROR(__xludf.DUMMYFUNCTION("""COMPUTED_VALUE"""),14.05)</f>
        <v>14.05</v>
      </c>
      <c r="L120" s="7" t="str">
        <f ca="1">IFERROR(__xludf.DUMMYFUNCTION("""COMPUTED_VALUE"""),"ha")</f>
        <v>ha</v>
      </c>
      <c r="M120" s="7"/>
      <c r="N120" s="7"/>
      <c r="O120" s="7" t="str">
        <f ca="1">IFERROR(__xludf.DUMMYFUNCTION("""COMPUTED_VALUE"""),"25032410517300007")</f>
        <v>25032410517300007</v>
      </c>
      <c r="P120" s="8">
        <f ca="1">IFERROR(__xludf.DUMMYFUNCTION("""COMPUTED_VALUE"""),45376)</f>
        <v>45376</v>
      </c>
      <c r="Q120" s="7"/>
      <c r="R120" s="7" t="str">
        <f ca="1">IFERROR(__xludf.DUMMYFUNCTION("""COMPUTED_VALUE"""),"Tidak Menyampaikan Laporan")</f>
        <v>Tidak Menyampaikan Laporan</v>
      </c>
      <c r="S120" s="7"/>
      <c r="T120" s="7"/>
      <c r="U120" s="7"/>
      <c r="V120" s="7"/>
      <c r="W120" s="7"/>
      <c r="X120" s="7"/>
      <c r="Y120" s="7"/>
      <c r="Z120" s="7"/>
      <c r="AA120" s="7" t="str">
        <f ca="1">IFERROR(__xludf.DUMMYFUNCTION("""COMPUTED_VALUE"""),"SP1")</f>
        <v>SP1</v>
      </c>
      <c r="AB120" s="9" t="str">
        <f ca="1">IFERROR(__xludf.DUMMYFUNCTION("""COMPUTED_VALUE"""),"TIDAK MENYAMPAIKAN LAPORAN 1")</f>
        <v>TIDAK MENYAMPAIKAN LAPORAN 1</v>
      </c>
      <c r="AC120" s="9"/>
      <c r="AD120" s="9"/>
      <c r="AE120" s="9"/>
      <c r="AF120" s="7" t="str">
        <f ca="1">IFERROR(__xludf.DUMMYFUNCTION("""COMPUTED_VALUE"""),"BITUNG")</f>
        <v>BITUNG</v>
      </c>
      <c r="AG120" s="7"/>
      <c r="AH120" s="7"/>
      <c r="AI120" s="7"/>
      <c r="AJ120" s="7"/>
      <c r="AK120" s="6"/>
      <c r="AL120" s="6"/>
      <c r="AM120" s="6"/>
      <c r="AN120" s="6"/>
      <c r="AO120" s="6"/>
    </row>
    <row r="121" spans="1:41" ht="50.5" x14ac:dyDescent="0.3">
      <c r="A121" s="7">
        <f ca="1">IFERROR(__xludf.DUMMYFUNCTION("""COMPUTED_VALUE"""),1656)</f>
        <v>1656</v>
      </c>
      <c r="B121" s="7" t="str">
        <f ca="1">IFERROR(__xludf.DUMMYFUNCTION("""COMPUTED_VALUE"""),"24.13.00259")</f>
        <v>24.13.00259</v>
      </c>
      <c r="C121" s="7" t="str">
        <f ca="1">IFERROR(__xludf.DUMMYFUNCTION("""COMPUTED_VALUE"""),"PT TIRAN INDONESIA")</f>
        <v>PT TIRAN INDONESIA</v>
      </c>
      <c r="D121" s="7" t="str">
        <f ca="1">IFERROR(__xludf.DUMMYFUNCTION("""COMPUTED_VALUE"""),"0411420695 /  indonesiatiran@gmail.com")</f>
        <v>0411420695 /  indonesiatiran@gmail.com</v>
      </c>
      <c r="E121" s="7" t="str">
        <f ca="1">IFERROR(__xludf.DUMMYFUNCTION("""COMPUTED_VALUE"""),"JL. IR. SUTAMI, KOMPLEK PARANGLOE INDAH BLOK NI/7 BULU ROKENG, BIRINGKANAYA, KELURAHAN PARANG LOE, KECAMATAN TAMALANREA, KOTA MAKASSAR, PROVINSI SULAWESI SELATAN")</f>
        <v>JL. IR. SUTAMI, KOMPLEK PARANGLOE INDAH BLOK NI/7 BULU ROKENG, BIRINGKANAYA, KELURAHAN PARANG LOE, KECAMATAN TAMALANREA, KOTA MAKASSAR, PROVINSI SULAWESI SELATAN</v>
      </c>
      <c r="F121" s="7" t="str">
        <f ca="1">IFERROR(__xludf.DUMMYFUNCTION("""COMPUTED_VALUE"""),"PERSETUJUAN")</f>
        <v>PERSETUJUAN</v>
      </c>
      <c r="G121" s="7" t="str">
        <f ca="1">IFERROR(__xludf.DUMMYFUNCTION("""COMPUTED_VALUE"""),"BERUSAHA")</f>
        <v>BERUSAHA</v>
      </c>
      <c r="H121" s="7" t="str">
        <f ca="1">IFERROR(__xludf.DUMMYFUNCTION("""COMPUTED_VALUE"""),"SULAWESI TENGGARA")</f>
        <v>SULAWESI TENGGARA</v>
      </c>
      <c r="I121" s="7" t="str">
        <f ca="1">IFERROR(__xludf.DUMMYFUNCTION("""COMPUTED_VALUE"""),"LAUT BANDA")</f>
        <v>LAUT BANDA</v>
      </c>
      <c r="J121" s="7" t="str">
        <f ca="1">IFERROR(__xludf.DUMMYFUNCTION("""COMPUTED_VALUE"""),"TERMINAL KHUSUS")</f>
        <v>TERMINAL KHUSUS</v>
      </c>
      <c r="K121" s="7">
        <f ca="1">IFERROR(__xludf.DUMMYFUNCTION("""COMPUTED_VALUE"""),13.41)</f>
        <v>13.41</v>
      </c>
      <c r="L121" s="7" t="str">
        <f ca="1">IFERROR(__xludf.DUMMYFUNCTION("""COMPUTED_VALUE"""),"ha")</f>
        <v>ha</v>
      </c>
      <c r="M121" s="7"/>
      <c r="N121" s="7"/>
      <c r="O121" s="7" t="str">
        <f ca="1">IFERROR(__xludf.DUMMYFUNCTION("""COMPUTED_VALUE"""),"27032410517400002")</f>
        <v>27032410517400002</v>
      </c>
      <c r="P121" s="8">
        <f ca="1">IFERROR(__xludf.DUMMYFUNCTION("""COMPUTED_VALUE"""),45378)</f>
        <v>45378</v>
      </c>
      <c r="Q121" s="7"/>
      <c r="R121" s="7" t="str">
        <f ca="1">IFERROR(__xludf.DUMMYFUNCTION("""COMPUTED_VALUE"""),"Tidak Menyampaikan Laporan")</f>
        <v>Tidak Menyampaikan Laporan</v>
      </c>
      <c r="S121" s="7"/>
      <c r="T121" s="7"/>
      <c r="U121" s="7"/>
      <c r="V121" s="7"/>
      <c r="W121" s="7"/>
      <c r="X121" s="7"/>
      <c r="Y121" s="7"/>
      <c r="Z121" s="7"/>
      <c r="AA121" s="7" t="str">
        <f ca="1">IFERROR(__xludf.DUMMYFUNCTION("""COMPUTED_VALUE"""),"SP1")</f>
        <v>SP1</v>
      </c>
      <c r="AB121" s="9" t="str">
        <f ca="1">IFERROR(__xludf.DUMMYFUNCTION("""COMPUTED_VALUE"""),"TIDAK MENYAMPAIKAN LAPORAN 1")</f>
        <v>TIDAK MENYAMPAIKAN LAPORAN 1</v>
      </c>
      <c r="AC121" s="9"/>
      <c r="AD121" s="9"/>
      <c r="AE121" s="9"/>
      <c r="AF121" s="7" t="str">
        <f ca="1">IFERROR(__xludf.DUMMYFUNCTION("""COMPUTED_VALUE"""),"BITUNG")</f>
        <v>BITUNG</v>
      </c>
      <c r="AG121" s="7"/>
      <c r="AH121" s="7"/>
      <c r="AI121" s="7"/>
      <c r="AJ121" s="7"/>
      <c r="AK121" s="6"/>
      <c r="AL121" s="6"/>
      <c r="AM121" s="6"/>
      <c r="AN121" s="6"/>
      <c r="AO121" s="6"/>
    </row>
    <row r="122" spans="1:41" ht="50.5" x14ac:dyDescent="0.3">
      <c r="A122" s="7">
        <f ca="1">IFERROR(__xludf.DUMMYFUNCTION("""COMPUTED_VALUE"""),1657)</f>
        <v>1657</v>
      </c>
      <c r="B122" s="7" t="str">
        <f ca="1">IFERROR(__xludf.DUMMYFUNCTION("""COMPUTED_VALUE"""),"24.13.00218")</f>
        <v>24.13.00218</v>
      </c>
      <c r="C122" s="7" t="str">
        <f ca="1">IFERROR(__xludf.DUMMYFUNCTION("""COMPUTED_VALUE"""),"PT SULTENG MINING SEJAHTERA")</f>
        <v>PT SULTENG MINING SEJAHTERA</v>
      </c>
      <c r="D122" s="7" t="str">
        <f ca="1">IFERROR(__xludf.DUMMYFUNCTION("""COMPUTED_VALUE"""),"085298912449 /  sultengminingsejahtera@gmail.com")</f>
        <v>085298912449 /  sultengminingsejahtera@gmail.com</v>
      </c>
      <c r="E122" s="7" t="str">
        <f ca="1">IFERROR(__xludf.DUMMYFUNCTION("""COMPUTED_VALUE"""),"JL. SUNGAI MANONDA LRG PDAM, KELURAHAN BALAROA, KECAMATAN PALU BARAT, KOTA PALU, PROVINSI SULAWESI TENGAH")</f>
        <v>JL. SUNGAI MANONDA LRG PDAM, KELURAHAN BALAROA, KECAMATAN PALU BARAT, KOTA PALU, PROVINSI SULAWESI TENGAH</v>
      </c>
      <c r="F122" s="7" t="str">
        <f ca="1">IFERROR(__xludf.DUMMYFUNCTION("""COMPUTED_VALUE"""),"PERSETUJUAN")</f>
        <v>PERSETUJUAN</v>
      </c>
      <c r="G122" s="7" t="str">
        <f ca="1">IFERROR(__xludf.DUMMYFUNCTION("""COMPUTED_VALUE"""),"BERUSAHA")</f>
        <v>BERUSAHA</v>
      </c>
      <c r="H122" s="7" t="str">
        <f ca="1">IFERROR(__xludf.DUMMYFUNCTION("""COMPUTED_VALUE"""),"SULAWESI TENGAH")</f>
        <v>SULAWESI TENGAH</v>
      </c>
      <c r="I122" s="7" t="str">
        <f ca="1">IFERROR(__xludf.DUMMYFUNCTION("""COMPUTED_VALUE"""),"SELAT MAKASSAR")</f>
        <v>SELAT MAKASSAR</v>
      </c>
      <c r="J122" s="7" t="str">
        <f ca="1">IFERROR(__xludf.DUMMYFUNCTION("""COMPUTED_VALUE"""),"TERMINAL UNTUK KEPENTINGAN SENDIRI (TUKS)")</f>
        <v>TERMINAL UNTUK KEPENTINGAN SENDIRI (TUKS)</v>
      </c>
      <c r="K122" s="7">
        <f ca="1">IFERROR(__xludf.DUMMYFUNCTION("""COMPUTED_VALUE"""),2.2)</f>
        <v>2.2000000000000002</v>
      </c>
      <c r="L122" s="7" t="str">
        <f ca="1">IFERROR(__xludf.DUMMYFUNCTION("""COMPUTED_VALUE"""),"ha")</f>
        <v>ha</v>
      </c>
      <c r="M122" s="7"/>
      <c r="N122" s="7"/>
      <c r="O122" s="7" t="str">
        <f ca="1">IFERROR(__xludf.DUMMYFUNCTION("""COMPUTED_VALUE"""),"28032410517200004")</f>
        <v>28032410517200004</v>
      </c>
      <c r="P122" s="8">
        <f ca="1">IFERROR(__xludf.DUMMYFUNCTION("""COMPUTED_VALUE"""),45379)</f>
        <v>45379</v>
      </c>
      <c r="Q122" s="7"/>
      <c r="R122" s="7" t="str">
        <f ca="1">IFERROR(__xludf.DUMMYFUNCTION("""COMPUTED_VALUE"""),"Tidak Menyampaikan Laporan")</f>
        <v>Tidak Menyampaikan Laporan</v>
      </c>
      <c r="S122" s="7"/>
      <c r="T122" s="7"/>
      <c r="U122" s="7"/>
      <c r="V122" s="7"/>
      <c r="W122" s="7"/>
      <c r="X122" s="7"/>
      <c r="Y122" s="7"/>
      <c r="Z122" s="7"/>
      <c r="AA122" s="7" t="str">
        <f ca="1">IFERROR(__xludf.DUMMYFUNCTION("""COMPUTED_VALUE"""),"SP1")</f>
        <v>SP1</v>
      </c>
      <c r="AB122" s="9" t="str">
        <f ca="1">IFERROR(__xludf.DUMMYFUNCTION("""COMPUTED_VALUE"""),"TIDAK MENYAMPAIKAN LAPORAN 1")</f>
        <v>TIDAK MENYAMPAIKAN LAPORAN 1</v>
      </c>
      <c r="AC122" s="9"/>
      <c r="AD122" s="9"/>
      <c r="AE122" s="9"/>
      <c r="AF122" s="7" t="str">
        <f ca="1">IFERROR(__xludf.DUMMYFUNCTION("""COMPUTED_VALUE"""),"BITUNG")</f>
        <v>BITUNG</v>
      </c>
      <c r="AG122" s="7"/>
      <c r="AH122" s="7"/>
      <c r="AI122" s="7"/>
      <c r="AJ122" s="7"/>
      <c r="AK122" s="6"/>
      <c r="AL122" s="6"/>
      <c r="AM122" s="6"/>
      <c r="AN122" s="6"/>
      <c r="AO122" s="6"/>
    </row>
    <row r="123" spans="1:41" ht="50.5" x14ac:dyDescent="0.3">
      <c r="A123" s="7">
        <f ca="1">IFERROR(__xludf.DUMMYFUNCTION("""COMPUTED_VALUE"""),1664)</f>
        <v>1664</v>
      </c>
      <c r="B123" s="7" t="str">
        <f ca="1">IFERROR(__xludf.DUMMYFUNCTION("""COMPUTED_VALUE"""),"24.13.00244")</f>
        <v>24.13.00244</v>
      </c>
      <c r="C123" s="7" t="str">
        <f ca="1">IFERROR(__xludf.DUMMYFUNCTION("""COMPUTED_VALUE"""),"PT LOKA INDAH LESTARI")</f>
        <v>PT LOKA INDAH LESTARI</v>
      </c>
      <c r="D123" s="7" t="str">
        <f ca="1">IFERROR(__xludf.DUMMYFUNCTION("""COMPUTED_VALUE"""),"02158908188 / hendry.yanty@kencanaagri.com")</f>
        <v>02158908188 / hendry.yanty@kencanaagri.com</v>
      </c>
      <c r="E123" s="7" t="str">
        <f ca="1">IFERROR(__xludf.DUMMYFUNCTION("""COMPUTED_VALUE"""),"KENCANA TOWER LT. 9 BUSINESS PARK KEBON JERUK, JL. RAYA MERUYA ILIR NO. 88, KELURAHAN MERUYA UTARA, KECAMATAN KEMBANGAN, KOTA JAKARTA BARAT, PROVINSI DKI JAKARTA")</f>
        <v>KENCANA TOWER LT. 9 BUSINESS PARK KEBON JERUK, JL. RAYA MERUYA ILIR NO. 88, KELURAHAN MERUYA UTARA, KECAMATAN KEMBANGAN, KOTA JAKARTA BARAT, PROVINSI DKI JAKARTA</v>
      </c>
      <c r="F123" s="7" t="str">
        <f ca="1">IFERROR(__xludf.DUMMYFUNCTION("""COMPUTED_VALUE"""),"PERSETUJUAN")</f>
        <v>PERSETUJUAN</v>
      </c>
      <c r="G123" s="7" t="str">
        <f ca="1">IFERROR(__xludf.DUMMYFUNCTION("""COMPUTED_VALUE"""),"BERUSAHA")</f>
        <v>BERUSAHA</v>
      </c>
      <c r="H123" s="7" t="str">
        <f ca="1">IFERROR(__xludf.DUMMYFUNCTION("""COMPUTED_VALUE"""),"GORONTALO")</f>
        <v>GORONTALO</v>
      </c>
      <c r="I123" s="7" t="str">
        <f ca="1">IFERROR(__xludf.DUMMYFUNCTION("""COMPUTED_VALUE"""),"TELUK TOMINI")</f>
        <v>TELUK TOMINI</v>
      </c>
      <c r="J123" s="7" t="str">
        <f ca="1">IFERROR(__xludf.DUMMYFUNCTION("""COMPUTED_VALUE"""),"TERMINAL KHUSUS")</f>
        <v>TERMINAL KHUSUS</v>
      </c>
      <c r="K123" s="7">
        <f ca="1">IFERROR(__xludf.DUMMYFUNCTION("""COMPUTED_VALUE"""),2.23)</f>
        <v>2.23</v>
      </c>
      <c r="L123" s="7" t="str">
        <f ca="1">IFERROR(__xludf.DUMMYFUNCTION("""COMPUTED_VALUE"""),"ha")</f>
        <v>ha</v>
      </c>
      <c r="M123" s="7"/>
      <c r="N123" s="7"/>
      <c r="O123" s="7" t="str">
        <f ca="1">IFERROR(__xludf.DUMMYFUNCTION("""COMPUTED_VALUE"""),"28032410517500001")</f>
        <v>28032410517500001</v>
      </c>
      <c r="P123" s="8">
        <f ca="1">IFERROR(__xludf.DUMMYFUNCTION("""COMPUTED_VALUE"""),45379)</f>
        <v>45379</v>
      </c>
      <c r="Q123" s="7"/>
      <c r="R123" s="7" t="str">
        <f ca="1">IFERROR(__xludf.DUMMYFUNCTION("""COMPUTED_VALUE"""),"Tidak Menyampaikan Laporan")</f>
        <v>Tidak Menyampaikan Laporan</v>
      </c>
      <c r="S123" s="7"/>
      <c r="T123" s="7"/>
      <c r="U123" s="7"/>
      <c r="V123" s="7"/>
      <c r="W123" s="7"/>
      <c r="X123" s="7"/>
      <c r="Y123" s="7"/>
      <c r="Z123" s="7"/>
      <c r="AA123" s="7" t="str">
        <f ca="1">IFERROR(__xludf.DUMMYFUNCTION("""COMPUTED_VALUE"""),"SP1")</f>
        <v>SP1</v>
      </c>
      <c r="AB123" s="9" t="str">
        <f ca="1">IFERROR(__xludf.DUMMYFUNCTION("""COMPUTED_VALUE"""),"TIDAK MENYAMPAIKAN LAPORAN 1")</f>
        <v>TIDAK MENYAMPAIKAN LAPORAN 1</v>
      </c>
      <c r="AC123" s="9"/>
      <c r="AD123" s="9"/>
      <c r="AE123" s="9"/>
      <c r="AF123" s="7" t="str">
        <f ca="1">IFERROR(__xludf.DUMMYFUNCTION("""COMPUTED_VALUE"""),"BITUNG")</f>
        <v>BITUNG</v>
      </c>
      <c r="AG123" s="7"/>
      <c r="AH123" s="7"/>
      <c r="AI123" s="7"/>
      <c r="AJ123" s="7"/>
      <c r="AK123" s="6"/>
      <c r="AL123" s="6"/>
      <c r="AM123" s="6"/>
      <c r="AN123" s="6"/>
      <c r="AO123" s="6"/>
    </row>
    <row r="124" spans="1:41" ht="50.5" x14ac:dyDescent="0.3">
      <c r="A124" s="7">
        <f ca="1">IFERROR(__xludf.DUMMYFUNCTION("""COMPUTED_VALUE"""),1671)</f>
        <v>1671</v>
      </c>
      <c r="B124" s="7" t="str">
        <f ca="1">IFERROR(__xludf.DUMMYFUNCTION("""COMPUTED_VALUE"""),"24.13.00226")</f>
        <v>24.13.00226</v>
      </c>
      <c r="C124" s="7" t="str">
        <f ca="1">IFERROR(__xludf.DUMMYFUNCTION("""COMPUTED_VALUE"""),"PT SAMUDERA PURANABILE ABADI")</f>
        <v>PT SAMUDERA PURANABILE ABADI</v>
      </c>
      <c r="D124" s="7" t="str">
        <f ca="1">IFERROR(__xludf.DUMMYFUNCTION("""COMPUTED_VALUE"""),"legal.jkt@hasjrat.co.id")</f>
        <v>legal.jkt@hasjrat.co.id</v>
      </c>
      <c r="E124" s="7" t="str">
        <f ca="1">IFERROR(__xludf.DUMMYFUNCTION("""COMPUTED_VALUE"""),"JL. SAMUEL LANGUYU LINGK. 1, KELRUAHAN WINENET DUA, KECAMATAN AERTEMBAGA, KOTA BITUNG, PROVINSI SULAWESI UTARA")</f>
        <v>JL. SAMUEL LANGUYU LINGK. 1, KELRUAHAN WINENET DUA, KECAMATAN AERTEMBAGA, KOTA BITUNG, PROVINSI SULAWESI UTARA</v>
      </c>
      <c r="F124" s="7" t="str">
        <f ca="1">IFERROR(__xludf.DUMMYFUNCTION("""COMPUTED_VALUE"""),"PERSETUJUAN")</f>
        <v>PERSETUJUAN</v>
      </c>
      <c r="G124" s="7" t="str">
        <f ca="1">IFERROR(__xludf.DUMMYFUNCTION("""COMPUTED_VALUE"""),"BERUSAHA")</f>
        <v>BERUSAHA</v>
      </c>
      <c r="H124" s="7" t="str">
        <f ca="1">IFERROR(__xludf.DUMMYFUNCTION("""COMPUTED_VALUE"""),"SULAWESI UTARA")</f>
        <v>SULAWESI UTARA</v>
      </c>
      <c r="I124" s="7" t="str">
        <f ca="1">IFERROR(__xludf.DUMMYFUNCTION("""COMPUTED_VALUE"""),"LAUT MALUKU")</f>
        <v>LAUT MALUKU</v>
      </c>
      <c r="J124" s="7" t="str">
        <f ca="1">IFERROR(__xludf.DUMMYFUNCTION("""COMPUTED_VALUE"""),"GALANGAN KAPAL")</f>
        <v>GALANGAN KAPAL</v>
      </c>
      <c r="K124" s="7">
        <f ca="1">IFERROR(__xludf.DUMMYFUNCTION("""COMPUTED_VALUE"""),1.04)</f>
        <v>1.04</v>
      </c>
      <c r="L124" s="7" t="str">
        <f ca="1">IFERROR(__xludf.DUMMYFUNCTION("""COMPUTED_VALUE"""),"ha")</f>
        <v>ha</v>
      </c>
      <c r="M124" s="7"/>
      <c r="N124" s="7"/>
      <c r="O124" s="7" t="str">
        <f ca="1">IFERROR(__xludf.DUMMYFUNCTION("""COMPUTED_VALUE"""),"01042410517100011")</f>
        <v>01042410517100011</v>
      </c>
      <c r="P124" s="8">
        <f ca="1">IFERROR(__xludf.DUMMYFUNCTION("""COMPUTED_VALUE"""),45383)</f>
        <v>45383</v>
      </c>
      <c r="Q124" s="7"/>
      <c r="R124" s="7" t="str">
        <f ca="1">IFERROR(__xludf.DUMMYFUNCTION("""COMPUTED_VALUE"""),"Tidak Menyampaikan Laporan")</f>
        <v>Tidak Menyampaikan Laporan</v>
      </c>
      <c r="S124" s="7"/>
      <c r="T124" s="7"/>
      <c r="U124" s="7"/>
      <c r="V124" s="7"/>
      <c r="W124" s="7"/>
      <c r="X124" s="7"/>
      <c r="Y124" s="7"/>
      <c r="Z124" s="7"/>
      <c r="AA124" s="7" t="str">
        <f ca="1">IFERROR(__xludf.DUMMYFUNCTION("""COMPUTED_VALUE"""),"SP1")</f>
        <v>SP1</v>
      </c>
      <c r="AB124" s="9" t="str">
        <f ca="1">IFERROR(__xludf.DUMMYFUNCTION("""COMPUTED_VALUE"""),"TIDAK MENYAMPAIKAN LAPORAN 1")</f>
        <v>TIDAK MENYAMPAIKAN LAPORAN 1</v>
      </c>
      <c r="AC124" s="9"/>
      <c r="AD124" s="9"/>
      <c r="AE124" s="9"/>
      <c r="AF124" s="7" t="str">
        <f ca="1">IFERROR(__xludf.DUMMYFUNCTION("""COMPUTED_VALUE"""),"BITUNG")</f>
        <v>BITUNG</v>
      </c>
      <c r="AG124" s="7"/>
      <c r="AH124" s="7"/>
      <c r="AI124" s="7"/>
      <c r="AJ124" s="7"/>
      <c r="AK124" s="6"/>
      <c r="AL124" s="6"/>
      <c r="AM124" s="6"/>
      <c r="AN124" s="6"/>
      <c r="AO124" s="6"/>
    </row>
    <row r="125" spans="1:41" ht="50.5" x14ac:dyDescent="0.3">
      <c r="A125" s="7">
        <f ca="1">IFERROR(__xludf.DUMMYFUNCTION("""COMPUTED_VALUE"""),1674)</f>
        <v>1674</v>
      </c>
      <c r="B125" s="7" t="str">
        <f ca="1">IFERROR(__xludf.DUMMYFUNCTION("""COMPUTED_VALUE"""),"24.13.00252")</f>
        <v>24.13.00252</v>
      </c>
      <c r="C125" s="7" t="str">
        <f ca="1">IFERROR(__xludf.DUMMYFUNCTION("""COMPUTED_VALUE"""),"PT PERTAMINA PATRA NIAGA")</f>
        <v>PT PERTAMINA PATRA NIAGA</v>
      </c>
      <c r="D125" s="7" t="str">
        <f ca="1">IFERROR(__xludf.DUMMYFUNCTION("""COMPUTED_VALUE"""),"0215209009/perizinan.ppn@pertamina.com")</f>
        <v>0215209009/perizinan.ppn@pertamina.com</v>
      </c>
      <c r="E125" s="7" t="str">
        <f ca="1">IFERROR(__xludf.DUMMYFUNCTION("""COMPUTED_VALUE"""),"GEDUNG WISMA TUGU II LT. 2, JL. HR. RASUNA SAID KAV. C7-9, KELURAHAN KARET KUNINGAN, KECAMATAN SETIABUDI, KOTA JAKARTA SELATAN, PROVINSI DKI JAKARTA")</f>
        <v>GEDUNG WISMA TUGU II LT. 2, JL. HR. RASUNA SAID KAV. C7-9, KELURAHAN KARET KUNINGAN, KECAMATAN SETIABUDI, KOTA JAKARTA SELATAN, PROVINSI DKI JAKARTA</v>
      </c>
      <c r="F125" s="7" t="str">
        <f ca="1">IFERROR(__xludf.DUMMYFUNCTION("""COMPUTED_VALUE"""),"PERSETUJUAN")</f>
        <v>PERSETUJUAN</v>
      </c>
      <c r="G125" s="7" t="str">
        <f ca="1">IFERROR(__xludf.DUMMYFUNCTION("""COMPUTED_VALUE"""),"BERUSAHA")</f>
        <v>BERUSAHA</v>
      </c>
      <c r="H125" s="7" t="str">
        <f ca="1">IFERROR(__xludf.DUMMYFUNCTION("""COMPUTED_VALUE"""),"SULAWESI SELATAN")</f>
        <v>SULAWESI SELATAN</v>
      </c>
      <c r="I125" s="7" t="str">
        <f ca="1">IFERROR(__xludf.DUMMYFUNCTION("""COMPUTED_VALUE"""),"TELUK BONE")</f>
        <v>TELUK BONE</v>
      </c>
      <c r="J125" s="7" t="str">
        <f ca="1">IFERROR(__xludf.DUMMYFUNCTION("""COMPUTED_VALUE"""),"DERMAGA FUEL TERMINAL PALOPO")</f>
        <v>DERMAGA FUEL TERMINAL PALOPO</v>
      </c>
      <c r="K125" s="7">
        <f ca="1">IFERROR(__xludf.DUMMYFUNCTION("""COMPUTED_VALUE"""),34.66)</f>
        <v>34.659999999999997</v>
      </c>
      <c r="L125" s="7" t="str">
        <f ca="1">IFERROR(__xludf.DUMMYFUNCTION("""COMPUTED_VALUE"""),"ha")</f>
        <v>ha</v>
      </c>
      <c r="M125" s="7"/>
      <c r="N125" s="7"/>
      <c r="O125" s="7" t="str">
        <f ca="1">IFERROR(__xludf.DUMMYFUNCTION("""COMPUTED_VALUE"""),"01042410517300008")</f>
        <v>01042410517300008</v>
      </c>
      <c r="P125" s="8">
        <f ca="1">IFERROR(__xludf.DUMMYFUNCTION("""COMPUTED_VALUE"""),45383)</f>
        <v>45383</v>
      </c>
      <c r="Q125" s="8"/>
      <c r="R125" s="7" t="str">
        <f ca="1">IFERROR(__xludf.DUMMYFUNCTION("""COMPUTED_VALUE"""),"Tidak Menyampaikan Laporan")</f>
        <v>Tidak Menyampaikan Laporan</v>
      </c>
      <c r="S125" s="7"/>
      <c r="T125" s="7"/>
      <c r="U125" s="7"/>
      <c r="V125" s="7"/>
      <c r="W125" s="7"/>
      <c r="X125" s="7"/>
      <c r="Y125" s="7"/>
      <c r="Z125" s="7"/>
      <c r="AA125" s="7" t="str">
        <f ca="1">IFERROR(__xludf.DUMMYFUNCTION("""COMPUTED_VALUE"""),"SP1")</f>
        <v>SP1</v>
      </c>
      <c r="AB125" s="9" t="str">
        <f ca="1">IFERROR(__xludf.DUMMYFUNCTION("""COMPUTED_VALUE"""),"TIDAK MENYAMPAIKAN LAPORAN 1")</f>
        <v>TIDAK MENYAMPAIKAN LAPORAN 1</v>
      </c>
      <c r="AC125" s="9"/>
      <c r="AD125" s="9"/>
      <c r="AE125" s="11"/>
      <c r="AF125" s="7" t="str">
        <f ca="1">IFERROR(__xludf.DUMMYFUNCTION("""COMPUTED_VALUE"""),"BITUNG")</f>
        <v>BITUNG</v>
      </c>
      <c r="AG125" s="8"/>
      <c r="AH125" s="7"/>
      <c r="AI125" s="7"/>
      <c r="AJ125" s="7"/>
      <c r="AK125" s="6"/>
      <c r="AL125" s="6"/>
      <c r="AM125" s="6"/>
      <c r="AN125" s="6"/>
      <c r="AO125" s="6"/>
    </row>
    <row r="126" spans="1:41" ht="50.5" x14ac:dyDescent="0.3">
      <c r="A126" s="7">
        <f ca="1">IFERROR(__xludf.DUMMYFUNCTION("""COMPUTED_VALUE"""),1675)</f>
        <v>1675</v>
      </c>
      <c r="B126" s="7" t="str">
        <f ca="1">IFERROR(__xludf.DUMMYFUNCTION("""COMPUTED_VALUE"""),"24.13.00253")</f>
        <v>24.13.00253</v>
      </c>
      <c r="C126" s="7" t="str">
        <f ca="1">IFERROR(__xludf.DUMMYFUNCTION("""COMPUTED_VALUE"""),"PT PERTAMINA PATRA NIAGA")</f>
        <v>PT PERTAMINA PATRA NIAGA</v>
      </c>
      <c r="D126" s="7" t="str">
        <f ca="1">IFERROR(__xludf.DUMMYFUNCTION("""COMPUTED_VALUE"""),"0215209009/perizinan.ppn@pertamina.com")</f>
        <v>0215209009/perizinan.ppn@pertamina.com</v>
      </c>
      <c r="E126" s="7" t="str">
        <f ca="1">IFERROR(__xludf.DUMMYFUNCTION("""COMPUTED_VALUE"""),"GEDUNG WISMA TUGU II LT. 2, JL. HR. RASUNA SAID KAV. C7-9, KELURAHAN KARET KUNINGAN, KECAMATAN SETIABUDI, KOTA JAKARTA SELATAN, PROVINSI DKI JAKARTA")</f>
        <v>GEDUNG WISMA TUGU II LT. 2, JL. HR. RASUNA SAID KAV. C7-9, KELURAHAN KARET KUNINGAN, KECAMATAN SETIABUDI, KOTA JAKARTA SELATAN, PROVINSI DKI JAKARTA</v>
      </c>
      <c r="F126" s="7" t="str">
        <f ca="1">IFERROR(__xludf.DUMMYFUNCTION("""COMPUTED_VALUE"""),"PERSETUJUAN")</f>
        <v>PERSETUJUAN</v>
      </c>
      <c r="G126" s="7" t="str">
        <f ca="1">IFERROR(__xludf.DUMMYFUNCTION("""COMPUTED_VALUE"""),"BERUSAHA")</f>
        <v>BERUSAHA</v>
      </c>
      <c r="H126" s="7" t="str">
        <f ca="1">IFERROR(__xludf.DUMMYFUNCTION("""COMPUTED_VALUE"""),"SULAWESI SELATAN")</f>
        <v>SULAWESI SELATAN</v>
      </c>
      <c r="I126" s="7" t="str">
        <f ca="1">IFERROR(__xludf.DUMMYFUNCTION("""COMPUTED_VALUE"""),"TELUK BONE")</f>
        <v>TELUK BONE</v>
      </c>
      <c r="J126" s="7" t="str">
        <f ca="1">IFERROR(__xludf.DUMMYFUNCTION("""COMPUTED_VALUE"""),"SUBMARINE PIPELINE 1 FUEL TERMINAL PALOPO")</f>
        <v>SUBMARINE PIPELINE 1 FUEL TERMINAL PALOPO</v>
      </c>
      <c r="K126" s="7"/>
      <c r="L126" s="7"/>
      <c r="M126" s="7">
        <f ca="1">IFERROR(__xludf.DUMMYFUNCTION("""COMPUTED_VALUE"""),1.71)</f>
        <v>1.71</v>
      </c>
      <c r="N126" s="7" t="str">
        <f ca="1">IFERROR(__xludf.DUMMYFUNCTION("""COMPUTED_VALUE"""),"km")</f>
        <v>km</v>
      </c>
      <c r="O126" s="7" t="str">
        <f ca="1">IFERROR(__xludf.DUMMYFUNCTION("""COMPUTED_VALUE"""),"01042410517300009")</f>
        <v>01042410517300009</v>
      </c>
      <c r="P126" s="8">
        <f ca="1">IFERROR(__xludf.DUMMYFUNCTION("""COMPUTED_VALUE"""),45383)</f>
        <v>45383</v>
      </c>
      <c r="Q126" s="7"/>
      <c r="R126" s="7" t="str">
        <f ca="1">IFERROR(__xludf.DUMMYFUNCTION("""COMPUTED_VALUE"""),"Tidak Menyampaikan Laporan")</f>
        <v>Tidak Menyampaikan Laporan</v>
      </c>
      <c r="S126" s="7"/>
      <c r="T126" s="7"/>
      <c r="U126" s="7"/>
      <c r="V126" s="7"/>
      <c r="W126" s="7"/>
      <c r="X126" s="7"/>
      <c r="Y126" s="7"/>
      <c r="Z126" s="7"/>
      <c r="AA126" s="7" t="str">
        <f ca="1">IFERROR(__xludf.DUMMYFUNCTION("""COMPUTED_VALUE"""),"SP1")</f>
        <v>SP1</v>
      </c>
      <c r="AB126" s="9" t="str">
        <f ca="1">IFERROR(__xludf.DUMMYFUNCTION("""COMPUTED_VALUE"""),"TIDAK MENYAMPAIKAN LAPORAN 1")</f>
        <v>TIDAK MENYAMPAIKAN LAPORAN 1</v>
      </c>
      <c r="AC126" s="9"/>
      <c r="AD126" s="9"/>
      <c r="AE126" s="9"/>
      <c r="AF126" s="7" t="str">
        <f ca="1">IFERROR(__xludf.DUMMYFUNCTION("""COMPUTED_VALUE"""),"BITUNG")</f>
        <v>BITUNG</v>
      </c>
      <c r="AG126" s="7"/>
      <c r="AH126" s="7"/>
      <c r="AI126" s="7"/>
      <c r="AJ126" s="7"/>
      <c r="AK126" s="6"/>
      <c r="AL126" s="6"/>
      <c r="AM126" s="6"/>
      <c r="AN126" s="6"/>
      <c r="AO126" s="6"/>
    </row>
    <row r="127" spans="1:41" ht="50.5" x14ac:dyDescent="0.3">
      <c r="A127" s="7">
        <f ca="1">IFERROR(__xludf.DUMMYFUNCTION("""COMPUTED_VALUE"""),1676)</f>
        <v>1676</v>
      </c>
      <c r="B127" s="7" t="str">
        <f ca="1">IFERROR(__xludf.DUMMYFUNCTION("""COMPUTED_VALUE"""),"24.13.00254")</f>
        <v>24.13.00254</v>
      </c>
      <c r="C127" s="7" t="str">
        <f ca="1">IFERROR(__xludf.DUMMYFUNCTION("""COMPUTED_VALUE"""),"PT PERTAMINA PATRA NIAGA")</f>
        <v>PT PERTAMINA PATRA NIAGA</v>
      </c>
      <c r="D127" s="7" t="str">
        <f ca="1">IFERROR(__xludf.DUMMYFUNCTION("""COMPUTED_VALUE"""),"0215209009/perizinan.ppn@pertamina.com")</f>
        <v>0215209009/perizinan.ppn@pertamina.com</v>
      </c>
      <c r="E127" s="7" t="str">
        <f ca="1">IFERROR(__xludf.DUMMYFUNCTION("""COMPUTED_VALUE"""),"GEDUNG WISMA TUGU II LT. 2, JL. HR. RASUNA SAID KAV. C7-9, KELURAHAN KARET KUNINGAN, KECAMATAN SETIABUDI, KOTA JAKARTA SELATAN, PROVINSI DKI JAKARTA")</f>
        <v>GEDUNG WISMA TUGU II LT. 2, JL. HR. RASUNA SAID KAV. C7-9, KELURAHAN KARET KUNINGAN, KECAMATAN SETIABUDI, KOTA JAKARTA SELATAN, PROVINSI DKI JAKARTA</v>
      </c>
      <c r="F127" s="7" t="str">
        <f ca="1">IFERROR(__xludf.DUMMYFUNCTION("""COMPUTED_VALUE"""),"PERSETUJUAN")</f>
        <v>PERSETUJUAN</v>
      </c>
      <c r="G127" s="7" t="str">
        <f ca="1">IFERROR(__xludf.DUMMYFUNCTION("""COMPUTED_VALUE"""),"BERUSAHA")</f>
        <v>BERUSAHA</v>
      </c>
      <c r="H127" s="7" t="str">
        <f ca="1">IFERROR(__xludf.DUMMYFUNCTION("""COMPUTED_VALUE"""),"SULAWESI SELATAN")</f>
        <v>SULAWESI SELATAN</v>
      </c>
      <c r="I127" s="7" t="str">
        <f ca="1">IFERROR(__xludf.DUMMYFUNCTION("""COMPUTED_VALUE"""),"TELUK BONE")</f>
        <v>TELUK BONE</v>
      </c>
      <c r="J127" s="7" t="str">
        <f ca="1">IFERROR(__xludf.DUMMYFUNCTION("""COMPUTED_VALUE"""),"SUBMARINE PIPELINE 2 FUEL TERMINAL PALOPO")</f>
        <v>SUBMARINE PIPELINE 2 FUEL TERMINAL PALOPO</v>
      </c>
      <c r="K127" s="7"/>
      <c r="L127" s="7"/>
      <c r="M127" s="7">
        <f ca="1">IFERROR(__xludf.DUMMYFUNCTION("""COMPUTED_VALUE"""),1.71)</f>
        <v>1.71</v>
      </c>
      <c r="N127" s="7" t="str">
        <f ca="1">IFERROR(__xludf.DUMMYFUNCTION("""COMPUTED_VALUE"""),"km")</f>
        <v>km</v>
      </c>
      <c r="O127" s="7">
        <f ca="1">IFERROR(__xludf.DUMMYFUNCTION("""COMPUTED_VALUE"""),1042410517300010)</f>
        <v>1042410517300010</v>
      </c>
      <c r="P127" s="8">
        <f ca="1">IFERROR(__xludf.DUMMYFUNCTION("""COMPUTED_VALUE"""),45383)</f>
        <v>45383</v>
      </c>
      <c r="Q127" s="7"/>
      <c r="R127" s="7" t="str">
        <f ca="1">IFERROR(__xludf.DUMMYFUNCTION("""COMPUTED_VALUE"""),"Tidak Menyampaikan Laporan")</f>
        <v>Tidak Menyampaikan Laporan</v>
      </c>
      <c r="S127" s="7"/>
      <c r="T127" s="7"/>
      <c r="U127" s="7"/>
      <c r="V127" s="7"/>
      <c r="W127" s="7"/>
      <c r="X127" s="7"/>
      <c r="Y127" s="7"/>
      <c r="Z127" s="7"/>
      <c r="AA127" s="7" t="str">
        <f ca="1">IFERROR(__xludf.DUMMYFUNCTION("""COMPUTED_VALUE"""),"SP1")</f>
        <v>SP1</v>
      </c>
      <c r="AB127" s="9" t="str">
        <f ca="1">IFERROR(__xludf.DUMMYFUNCTION("""COMPUTED_VALUE"""),"TIDAK MENYAMPAIKAN LAPORAN 1")</f>
        <v>TIDAK MENYAMPAIKAN LAPORAN 1</v>
      </c>
      <c r="AC127" s="9"/>
      <c r="AD127" s="9"/>
      <c r="AE127" s="9"/>
      <c r="AF127" s="7" t="str">
        <f ca="1">IFERROR(__xludf.DUMMYFUNCTION("""COMPUTED_VALUE"""),"BITUNG")</f>
        <v>BITUNG</v>
      </c>
      <c r="AG127" s="7"/>
      <c r="AH127" s="7"/>
      <c r="AI127" s="7"/>
      <c r="AJ127" s="7"/>
      <c r="AK127" s="6"/>
      <c r="AL127" s="6"/>
      <c r="AM127" s="6"/>
      <c r="AN127" s="6"/>
      <c r="AO127" s="6"/>
    </row>
    <row r="128" spans="1:41" ht="50.5" x14ac:dyDescent="0.3">
      <c r="A128" s="7">
        <f ca="1">IFERROR(__xludf.DUMMYFUNCTION("""COMPUTED_VALUE"""),1677)</f>
        <v>1677</v>
      </c>
      <c r="B128" s="7" t="str">
        <f ca="1">IFERROR(__xludf.DUMMYFUNCTION("""COMPUTED_VALUE"""),"24.13.00255")</f>
        <v>24.13.00255</v>
      </c>
      <c r="C128" s="7" t="str">
        <f ca="1">IFERROR(__xludf.DUMMYFUNCTION("""COMPUTED_VALUE"""),"PT PERTAMINA PATRA NIAGA")</f>
        <v>PT PERTAMINA PATRA NIAGA</v>
      </c>
      <c r="D128" s="7" t="str">
        <f ca="1">IFERROR(__xludf.DUMMYFUNCTION("""COMPUTED_VALUE"""),"0215209009/perizinan.ppn@pertamina.com")</f>
        <v>0215209009/perizinan.ppn@pertamina.com</v>
      </c>
      <c r="E128" s="7" t="str">
        <f ca="1">IFERROR(__xludf.DUMMYFUNCTION("""COMPUTED_VALUE"""),"GEDUNG WISMA TUGU II LT. 2, JL. HR. RASUNA SAID KAV. C7-9, KELURAHAN KARET KUNINGAN, KECAMATAN SETIABUDI, KOTA JAKARTA SELATAN, PROVINSI DKI JAKARTA")</f>
        <v>GEDUNG WISMA TUGU II LT. 2, JL. HR. RASUNA SAID KAV. C7-9, KELURAHAN KARET KUNINGAN, KECAMATAN SETIABUDI, KOTA JAKARTA SELATAN, PROVINSI DKI JAKARTA</v>
      </c>
      <c r="F128" s="7" t="str">
        <f ca="1">IFERROR(__xludf.DUMMYFUNCTION("""COMPUTED_VALUE"""),"PERSETUJUAN")</f>
        <v>PERSETUJUAN</v>
      </c>
      <c r="G128" s="7" t="str">
        <f ca="1">IFERROR(__xludf.DUMMYFUNCTION("""COMPUTED_VALUE"""),"BERUSAHA")</f>
        <v>BERUSAHA</v>
      </c>
      <c r="H128" s="7" t="str">
        <f ca="1">IFERROR(__xludf.DUMMYFUNCTION("""COMPUTED_VALUE"""),"SULAWESI SELATAN")</f>
        <v>SULAWESI SELATAN</v>
      </c>
      <c r="I128" s="7" t="str">
        <f ca="1">IFERROR(__xludf.DUMMYFUNCTION("""COMPUTED_VALUE"""),"TELUK BONE")</f>
        <v>TELUK BONE</v>
      </c>
      <c r="J128" s="7" t="str">
        <f ca="1">IFERROR(__xludf.DUMMYFUNCTION("""COMPUTED_VALUE"""),"SUBMARINE PIPELINE 3 FUEL TERMINAL PALOPO")</f>
        <v>SUBMARINE PIPELINE 3 FUEL TERMINAL PALOPO</v>
      </c>
      <c r="K128" s="7"/>
      <c r="L128" s="7"/>
      <c r="M128" s="7">
        <f ca="1">IFERROR(__xludf.DUMMYFUNCTION("""COMPUTED_VALUE"""),1.71)</f>
        <v>1.71</v>
      </c>
      <c r="N128" s="7" t="str">
        <f ca="1">IFERROR(__xludf.DUMMYFUNCTION("""COMPUTED_VALUE"""),"km")</f>
        <v>km</v>
      </c>
      <c r="O128" s="7" t="str">
        <f ca="1">IFERROR(__xludf.DUMMYFUNCTION("""COMPUTED_VALUE"""),"01042410517300011")</f>
        <v>01042410517300011</v>
      </c>
      <c r="P128" s="8">
        <f ca="1">IFERROR(__xludf.DUMMYFUNCTION("""COMPUTED_VALUE"""),45383)</f>
        <v>45383</v>
      </c>
      <c r="Q128" s="7"/>
      <c r="R128" s="7" t="str">
        <f ca="1">IFERROR(__xludf.DUMMYFUNCTION("""COMPUTED_VALUE"""),"Tidak Menyampaikan Laporan")</f>
        <v>Tidak Menyampaikan Laporan</v>
      </c>
      <c r="S128" s="7"/>
      <c r="T128" s="7"/>
      <c r="U128" s="7"/>
      <c r="V128" s="7"/>
      <c r="W128" s="7"/>
      <c r="X128" s="7"/>
      <c r="Y128" s="7"/>
      <c r="Z128" s="7"/>
      <c r="AA128" s="7" t="str">
        <f ca="1">IFERROR(__xludf.DUMMYFUNCTION("""COMPUTED_VALUE"""),"SP1")</f>
        <v>SP1</v>
      </c>
      <c r="AB128" s="9" t="str">
        <f ca="1">IFERROR(__xludf.DUMMYFUNCTION("""COMPUTED_VALUE"""),"TIDAK MENYAMPAIKAN LAPORAN 1")</f>
        <v>TIDAK MENYAMPAIKAN LAPORAN 1</v>
      </c>
      <c r="AC128" s="9"/>
      <c r="AD128" s="9"/>
      <c r="AE128" s="9"/>
      <c r="AF128" s="7" t="str">
        <f ca="1">IFERROR(__xludf.DUMMYFUNCTION("""COMPUTED_VALUE"""),"BITUNG")</f>
        <v>BITUNG</v>
      </c>
      <c r="AG128" s="7"/>
      <c r="AH128" s="7"/>
      <c r="AI128" s="7"/>
      <c r="AJ128" s="7"/>
      <c r="AK128" s="6"/>
      <c r="AL128" s="6"/>
      <c r="AM128" s="6"/>
      <c r="AN128" s="6"/>
      <c r="AO128" s="6"/>
    </row>
    <row r="129" spans="1:41" ht="50.5" x14ac:dyDescent="0.3">
      <c r="A129" s="7">
        <f ca="1">IFERROR(__xludf.DUMMYFUNCTION("""COMPUTED_VALUE"""),1679)</f>
        <v>1679</v>
      </c>
      <c r="B129" s="7" t="str">
        <f ca="1">IFERROR(__xludf.DUMMYFUNCTION("""COMPUTED_VALUE"""),"24.13.00258")</f>
        <v>24.13.00258</v>
      </c>
      <c r="C129" s="7" t="str">
        <f ca="1">IFERROR(__xludf.DUMMYFUNCTION("""COMPUTED_VALUE"""),"PT PERTAMINA PATRA NIAGA")</f>
        <v>PT PERTAMINA PATRA NIAGA</v>
      </c>
      <c r="D129" s="7" t="str">
        <f ca="1">IFERROR(__xludf.DUMMYFUNCTION("""COMPUTED_VALUE"""),"0215209009/perizinan.ppn@pertamina.com")</f>
        <v>0215209009/perizinan.ppn@pertamina.com</v>
      </c>
      <c r="E129" s="7" t="str">
        <f ca="1">IFERROR(__xludf.DUMMYFUNCTION("""COMPUTED_VALUE"""),"GEDUNG WISMA TUGU II LT. 2, JL. HR. RASUNA SAID KAV. C7-9, KELURAHAN KARET KUNINGAN, KECAMATAN SETIABUDI, KOTA JAKARTA SELATAN, PROVINSI DKI JAKARTA")</f>
        <v>GEDUNG WISMA TUGU II LT. 2, JL. HR. RASUNA SAID KAV. C7-9, KELURAHAN KARET KUNINGAN, KECAMATAN SETIABUDI, KOTA JAKARTA SELATAN, PROVINSI DKI JAKARTA</v>
      </c>
      <c r="F129" s="7" t="str">
        <f ca="1">IFERROR(__xludf.DUMMYFUNCTION("""COMPUTED_VALUE"""),"PERSETUJUAN")</f>
        <v>PERSETUJUAN</v>
      </c>
      <c r="G129" s="7" t="str">
        <f ca="1">IFERROR(__xludf.DUMMYFUNCTION("""COMPUTED_VALUE"""),"BERUSAHA")</f>
        <v>BERUSAHA</v>
      </c>
      <c r="H129" s="7" t="str">
        <f ca="1">IFERROR(__xludf.DUMMYFUNCTION("""COMPUTED_VALUE"""),"SULAWESI SELATAN")</f>
        <v>SULAWESI SELATAN</v>
      </c>
      <c r="I129" s="7" t="str">
        <f ca="1">IFERROR(__xludf.DUMMYFUNCTION("""COMPUTED_VALUE"""),"SELAT MAKASSAR")</f>
        <v>SELAT MAKASSAR</v>
      </c>
      <c r="J129" s="7" t="str">
        <f ca="1">IFERROR(__xludf.DUMMYFUNCTION("""COMPUTED_VALUE"""),"DERMAGA FUEL TERMINAL PAREPARE")</f>
        <v>DERMAGA FUEL TERMINAL PAREPARE</v>
      </c>
      <c r="K129" s="7">
        <f ca="1">IFERROR(__xludf.DUMMYFUNCTION("""COMPUTED_VALUE"""),8.86)</f>
        <v>8.86</v>
      </c>
      <c r="L129" s="7" t="str">
        <f ca="1">IFERROR(__xludf.DUMMYFUNCTION("""COMPUTED_VALUE"""),"ha")</f>
        <v>ha</v>
      </c>
      <c r="M129" s="7"/>
      <c r="N129" s="7"/>
      <c r="O129" s="7" t="str">
        <f ca="1">IFERROR(__xludf.DUMMYFUNCTION("""COMPUTED_VALUE"""),"01042410517300012")</f>
        <v>01042410517300012</v>
      </c>
      <c r="P129" s="8">
        <f ca="1">IFERROR(__xludf.DUMMYFUNCTION("""COMPUTED_VALUE"""),45383)</f>
        <v>45383</v>
      </c>
      <c r="Q129" s="8"/>
      <c r="R129" s="7" t="str">
        <f ca="1">IFERROR(__xludf.DUMMYFUNCTION("""COMPUTED_VALUE"""),"Tidak Menyampaikan Laporan")</f>
        <v>Tidak Menyampaikan Laporan</v>
      </c>
      <c r="S129" s="7"/>
      <c r="T129" s="7"/>
      <c r="U129" s="7"/>
      <c r="V129" s="7"/>
      <c r="W129" s="7"/>
      <c r="X129" s="7"/>
      <c r="Y129" s="7"/>
      <c r="Z129" s="7"/>
      <c r="AA129" s="7" t="str">
        <f ca="1">IFERROR(__xludf.DUMMYFUNCTION("""COMPUTED_VALUE"""),"SP1")</f>
        <v>SP1</v>
      </c>
      <c r="AB129" s="9" t="str">
        <f ca="1">IFERROR(__xludf.DUMMYFUNCTION("""COMPUTED_VALUE"""),"TIDAK MENYAMPAIKAN LAPORAN 1")</f>
        <v>TIDAK MENYAMPAIKAN LAPORAN 1</v>
      </c>
      <c r="AC129" s="9"/>
      <c r="AD129" s="9"/>
      <c r="AE129" s="11"/>
      <c r="AF129" s="7" t="str">
        <f ca="1">IFERROR(__xludf.DUMMYFUNCTION("""COMPUTED_VALUE"""),"BITUNG")</f>
        <v>BITUNG</v>
      </c>
      <c r="AG129" s="8"/>
      <c r="AH129" s="7"/>
      <c r="AI129" s="7"/>
      <c r="AJ129" s="7"/>
      <c r="AK129" s="6"/>
      <c r="AL129" s="6"/>
      <c r="AM129" s="6"/>
      <c r="AN129" s="6"/>
      <c r="AO129" s="6"/>
    </row>
    <row r="130" spans="1:41" ht="50.5" x14ac:dyDescent="0.3">
      <c r="A130" s="7">
        <f ca="1">IFERROR(__xludf.DUMMYFUNCTION("""COMPUTED_VALUE"""),1681)</f>
        <v>1681</v>
      </c>
      <c r="B130" s="7" t="str">
        <f ca="1">IFERROR(__xludf.DUMMYFUNCTION("""COMPUTED_VALUE"""),"24.13.00209")</f>
        <v>24.13.00209</v>
      </c>
      <c r="C130" s="7" t="str">
        <f ca="1">IFERROR(__xludf.DUMMYFUNCTION("""COMPUTED_VALUE"""),"PT ESAPUTLII PRAKARSA UTAMA")</f>
        <v>PT ESAPUTLII PRAKARSA UTAMA</v>
      </c>
      <c r="D130" s="7" t="str">
        <f ca="1">IFERROR(__xludf.DUMMYFUNCTION("""COMPUTED_VALUE"""),"esapratama_makassar@yahoo.com")</f>
        <v>esapratama_makassar@yahoo.com</v>
      </c>
      <c r="E130" s="7" t="str">
        <f ca="1">IFERROR(__xludf.DUMMYFUNCTION("""COMPUTED_VALUE"""),"JL. H.A. MAPPANYUKKI NO. 9, KOTA MAKASSAR, PROVINSI SULAWESI SELATAN")</f>
        <v>JL. H.A. MAPPANYUKKI NO. 9, KOTA MAKASSAR, PROVINSI SULAWESI SELATAN</v>
      </c>
      <c r="F130" s="7" t="str">
        <f ca="1">IFERROR(__xludf.DUMMYFUNCTION("""COMPUTED_VALUE"""),"PERSETUJUAN")</f>
        <v>PERSETUJUAN</v>
      </c>
      <c r="G130" s="7" t="str">
        <f ca="1">IFERROR(__xludf.DUMMYFUNCTION("""COMPUTED_VALUE"""),"BERUSAHA")</f>
        <v>BERUSAHA</v>
      </c>
      <c r="H130" s="7" t="str">
        <f ca="1">IFERROR(__xludf.DUMMYFUNCTION("""COMPUTED_VALUE"""),"SULAWESI TENGAH")</f>
        <v>SULAWESI TENGAH</v>
      </c>
      <c r="I130" s="7" t="str">
        <f ca="1">IFERROR(__xludf.DUMMYFUNCTION("""COMPUTED_VALUE"""),"TELUK TOMINI")</f>
        <v>TELUK TOMINI</v>
      </c>
      <c r="J130" s="7" t="str">
        <f ca="1">IFERROR(__xludf.DUMMYFUNCTION("""COMPUTED_VALUE"""),"INSTALASI PERIKANAN")</f>
        <v>INSTALASI PERIKANAN</v>
      </c>
      <c r="K130" s="7">
        <f ca="1">IFERROR(__xludf.DUMMYFUNCTION("""COMPUTED_VALUE"""),0.25)</f>
        <v>0.25</v>
      </c>
      <c r="L130" s="7" t="str">
        <f ca="1">IFERROR(__xludf.DUMMYFUNCTION("""COMPUTED_VALUE"""),"ha")</f>
        <v>ha</v>
      </c>
      <c r="M130" s="7"/>
      <c r="N130" s="7"/>
      <c r="O130" s="7" t="str">
        <f ca="1">IFERROR(__xludf.DUMMYFUNCTION("""COMPUTED_VALUE"""),"02042410517200001")</f>
        <v>02042410517200001</v>
      </c>
      <c r="P130" s="8">
        <f ca="1">IFERROR(__xludf.DUMMYFUNCTION("""COMPUTED_VALUE"""),45384)</f>
        <v>45384</v>
      </c>
      <c r="Q130" s="7"/>
      <c r="R130" s="7" t="str">
        <f ca="1">IFERROR(__xludf.DUMMYFUNCTION("""COMPUTED_VALUE"""),"Tidak Menyampaikan Laporan")</f>
        <v>Tidak Menyampaikan Laporan</v>
      </c>
      <c r="S130" s="7"/>
      <c r="T130" s="7"/>
      <c r="U130" s="7"/>
      <c r="V130" s="7"/>
      <c r="W130" s="7"/>
      <c r="X130" s="7"/>
      <c r="Y130" s="7"/>
      <c r="Z130" s="7"/>
      <c r="AA130" s="7" t="str">
        <f ca="1">IFERROR(__xludf.DUMMYFUNCTION("""COMPUTED_VALUE"""),"SP1")</f>
        <v>SP1</v>
      </c>
      <c r="AB130" s="9" t="str">
        <f ca="1">IFERROR(__xludf.DUMMYFUNCTION("""COMPUTED_VALUE"""),"TIDAK MENYAMPAIKAN LAPORAN 1")</f>
        <v>TIDAK MENYAMPAIKAN LAPORAN 1</v>
      </c>
      <c r="AC130" s="9"/>
      <c r="AD130" s="9"/>
      <c r="AE130" s="9"/>
      <c r="AF130" s="7" t="str">
        <f ca="1">IFERROR(__xludf.DUMMYFUNCTION("""COMPUTED_VALUE"""),"BITUNG")</f>
        <v>BITUNG</v>
      </c>
      <c r="AG130" s="7"/>
      <c r="AH130" s="7"/>
      <c r="AI130" s="7"/>
      <c r="AJ130" s="7"/>
      <c r="AK130" s="6"/>
      <c r="AL130" s="6"/>
      <c r="AM130" s="6"/>
      <c r="AN130" s="6"/>
      <c r="AO130" s="6"/>
    </row>
    <row r="131" spans="1:41" ht="50.5" x14ac:dyDescent="0.3">
      <c r="A131" s="7">
        <f ca="1">IFERROR(__xludf.DUMMYFUNCTION("""COMPUTED_VALUE"""),1682)</f>
        <v>1682</v>
      </c>
      <c r="B131" s="7" t="str">
        <f ca="1">IFERROR(__xludf.DUMMYFUNCTION("""COMPUTED_VALUE"""),"24.13.00210")</f>
        <v>24.13.00210</v>
      </c>
      <c r="C131" s="7" t="str">
        <f ca="1">IFERROR(__xludf.DUMMYFUNCTION("""COMPUTED_VALUE"""),"PT ESAPUTLII PRAKARSA UTAMA")</f>
        <v>PT ESAPUTLII PRAKARSA UTAMA</v>
      </c>
      <c r="D131" s="7" t="str">
        <f ca="1">IFERROR(__xludf.DUMMYFUNCTION("""COMPUTED_VALUE"""),"esapratama_makassar@yahoo.com")</f>
        <v>esapratama_makassar@yahoo.com</v>
      </c>
      <c r="E131" s="7" t="str">
        <f ca="1">IFERROR(__xludf.DUMMYFUNCTION("""COMPUTED_VALUE"""),"JL. H.A. MAPPANYUKKI NO. 9, KOTA MAKASSAR, PROVINSI SULAWESI SELATAN")</f>
        <v>JL. H.A. MAPPANYUKKI NO. 9, KOTA MAKASSAR, PROVINSI SULAWESI SELATAN</v>
      </c>
      <c r="F131" s="7" t="str">
        <f ca="1">IFERROR(__xludf.DUMMYFUNCTION("""COMPUTED_VALUE"""),"PERSETUJUAN")</f>
        <v>PERSETUJUAN</v>
      </c>
      <c r="G131" s="7" t="str">
        <f ca="1">IFERROR(__xludf.DUMMYFUNCTION("""COMPUTED_VALUE"""),"BERUSAHA")</f>
        <v>BERUSAHA</v>
      </c>
      <c r="H131" s="7" t="str">
        <f ca="1">IFERROR(__xludf.DUMMYFUNCTION("""COMPUTED_VALUE"""),"SULAWESI TENGAH")</f>
        <v>SULAWESI TENGAH</v>
      </c>
      <c r="I131" s="7" t="str">
        <f ca="1">IFERROR(__xludf.DUMMYFUNCTION("""COMPUTED_VALUE"""),"TELUK TOMINI")</f>
        <v>TELUK TOMINI</v>
      </c>
      <c r="J131" s="7" t="str">
        <f ca="1">IFERROR(__xludf.DUMMYFUNCTION("""COMPUTED_VALUE"""),"INSTALASI PERIKANAN")</f>
        <v>INSTALASI PERIKANAN</v>
      </c>
      <c r="K131" s="7">
        <f ca="1">IFERROR(__xludf.DUMMYFUNCTION("""COMPUTED_VALUE"""),0.28)</f>
        <v>0.28000000000000003</v>
      </c>
      <c r="L131" s="7" t="str">
        <f ca="1">IFERROR(__xludf.DUMMYFUNCTION("""COMPUTED_VALUE"""),"ha")</f>
        <v>ha</v>
      </c>
      <c r="M131" s="7"/>
      <c r="N131" s="7"/>
      <c r="O131" s="7" t="str">
        <f ca="1">IFERROR(__xludf.DUMMYFUNCTION("""COMPUTED_VALUE"""),"02042410517200002")</f>
        <v>02042410517200002</v>
      </c>
      <c r="P131" s="8">
        <f ca="1">IFERROR(__xludf.DUMMYFUNCTION("""COMPUTED_VALUE"""),45384)</f>
        <v>45384</v>
      </c>
      <c r="Q131" s="8"/>
      <c r="R131" s="7" t="str">
        <f ca="1">IFERROR(__xludf.DUMMYFUNCTION("""COMPUTED_VALUE"""),"Tidak Menyampaikan Laporan")</f>
        <v>Tidak Menyampaikan Laporan</v>
      </c>
      <c r="S131" s="7"/>
      <c r="T131" s="7"/>
      <c r="U131" s="7"/>
      <c r="V131" s="7"/>
      <c r="W131" s="7"/>
      <c r="X131" s="7"/>
      <c r="Y131" s="7"/>
      <c r="Z131" s="7"/>
      <c r="AA131" s="7" t="str">
        <f ca="1">IFERROR(__xludf.DUMMYFUNCTION("""COMPUTED_VALUE"""),"SP1")</f>
        <v>SP1</v>
      </c>
      <c r="AB131" s="9" t="str">
        <f ca="1">IFERROR(__xludf.DUMMYFUNCTION("""COMPUTED_VALUE"""),"TIDAK MENYAMPAIKAN LAPORAN 1")</f>
        <v>TIDAK MENYAMPAIKAN LAPORAN 1</v>
      </c>
      <c r="AC131" s="9"/>
      <c r="AD131" s="9"/>
      <c r="AE131" s="11"/>
      <c r="AF131" s="7" t="str">
        <f ca="1">IFERROR(__xludf.DUMMYFUNCTION("""COMPUTED_VALUE"""),"BITUNG")</f>
        <v>BITUNG</v>
      </c>
      <c r="AG131" s="8"/>
      <c r="AH131" s="7"/>
      <c r="AI131" s="7"/>
      <c r="AJ131" s="7"/>
      <c r="AK131" s="6"/>
      <c r="AL131" s="6"/>
      <c r="AM131" s="6"/>
      <c r="AN131" s="6"/>
      <c r="AO131" s="6"/>
    </row>
    <row r="132" spans="1:41" ht="50.5" x14ac:dyDescent="0.3">
      <c r="A132" s="7">
        <f ca="1">IFERROR(__xludf.DUMMYFUNCTION("""COMPUTED_VALUE"""),1683)</f>
        <v>1683</v>
      </c>
      <c r="B132" s="7" t="str">
        <f ca="1">IFERROR(__xludf.DUMMYFUNCTION("""COMPUTED_VALUE"""),"24.13.00211")</f>
        <v>24.13.00211</v>
      </c>
      <c r="C132" s="7" t="str">
        <f ca="1">IFERROR(__xludf.DUMMYFUNCTION("""COMPUTED_VALUE"""),"PT ESAPUTLII PRAKARSA UTAMA")</f>
        <v>PT ESAPUTLII PRAKARSA UTAMA</v>
      </c>
      <c r="D132" s="7" t="str">
        <f ca="1">IFERROR(__xludf.DUMMYFUNCTION("""COMPUTED_VALUE"""),"esapratama_makassar@yahoo.com")</f>
        <v>esapratama_makassar@yahoo.com</v>
      </c>
      <c r="E132" s="7" t="str">
        <f ca="1">IFERROR(__xludf.DUMMYFUNCTION("""COMPUTED_VALUE"""),"JL. H.A. MAPPANYUKKI NO. 9, KOTA MAKASSAR, PROVINSI SULAWESI SELATAN")</f>
        <v>JL. H.A. MAPPANYUKKI NO. 9, KOTA MAKASSAR, PROVINSI SULAWESI SELATAN</v>
      </c>
      <c r="F132" s="7" t="str">
        <f ca="1">IFERROR(__xludf.DUMMYFUNCTION("""COMPUTED_VALUE"""),"PERSETUJUAN")</f>
        <v>PERSETUJUAN</v>
      </c>
      <c r="G132" s="7" t="str">
        <f ca="1">IFERROR(__xludf.DUMMYFUNCTION("""COMPUTED_VALUE"""),"BERUSAHA")</f>
        <v>BERUSAHA</v>
      </c>
      <c r="H132" s="7" t="str">
        <f ca="1">IFERROR(__xludf.DUMMYFUNCTION("""COMPUTED_VALUE"""),"SULAWESI TENGAH")</f>
        <v>SULAWESI TENGAH</v>
      </c>
      <c r="I132" s="7" t="str">
        <f ca="1">IFERROR(__xludf.DUMMYFUNCTION("""COMPUTED_VALUE"""),"TELUK TOMINI")</f>
        <v>TELUK TOMINI</v>
      </c>
      <c r="J132" s="7" t="str">
        <f ca="1">IFERROR(__xludf.DUMMYFUNCTION("""COMPUTED_VALUE"""),"INSTALASI PERIKANAN")</f>
        <v>INSTALASI PERIKANAN</v>
      </c>
      <c r="K132" s="7">
        <f ca="1">IFERROR(__xludf.DUMMYFUNCTION("""COMPUTED_VALUE"""),1.32)</f>
        <v>1.32</v>
      </c>
      <c r="L132" s="7" t="str">
        <f ca="1">IFERROR(__xludf.DUMMYFUNCTION("""COMPUTED_VALUE"""),"ha")</f>
        <v>ha</v>
      </c>
      <c r="M132" s="7"/>
      <c r="N132" s="7"/>
      <c r="O132" s="7" t="str">
        <f ca="1">IFERROR(__xludf.DUMMYFUNCTION("""COMPUTED_VALUE"""),"02042410517200003")</f>
        <v>02042410517200003</v>
      </c>
      <c r="P132" s="8">
        <f ca="1">IFERROR(__xludf.DUMMYFUNCTION("""COMPUTED_VALUE"""),45384)</f>
        <v>45384</v>
      </c>
      <c r="Q132" s="8"/>
      <c r="R132" s="7" t="str">
        <f ca="1">IFERROR(__xludf.DUMMYFUNCTION("""COMPUTED_VALUE"""),"Tidak Menyampaikan Laporan")</f>
        <v>Tidak Menyampaikan Laporan</v>
      </c>
      <c r="S132" s="7"/>
      <c r="T132" s="7"/>
      <c r="U132" s="7"/>
      <c r="V132" s="7"/>
      <c r="W132" s="7"/>
      <c r="X132" s="7"/>
      <c r="Y132" s="7"/>
      <c r="Z132" s="7"/>
      <c r="AA132" s="7" t="str">
        <f ca="1">IFERROR(__xludf.DUMMYFUNCTION("""COMPUTED_VALUE"""),"SP1")</f>
        <v>SP1</v>
      </c>
      <c r="AB132" s="9" t="str">
        <f ca="1">IFERROR(__xludf.DUMMYFUNCTION("""COMPUTED_VALUE"""),"TIDAK MENYAMPAIKAN LAPORAN 1")</f>
        <v>TIDAK MENYAMPAIKAN LAPORAN 1</v>
      </c>
      <c r="AC132" s="9"/>
      <c r="AD132" s="9"/>
      <c r="AE132" s="11"/>
      <c r="AF132" s="7" t="str">
        <f ca="1">IFERROR(__xludf.DUMMYFUNCTION("""COMPUTED_VALUE"""),"BITUNG")</f>
        <v>BITUNG</v>
      </c>
      <c r="AG132" s="8"/>
      <c r="AH132" s="7"/>
      <c r="AI132" s="7"/>
      <c r="AJ132" s="7"/>
      <c r="AK132" s="6"/>
      <c r="AL132" s="6"/>
      <c r="AM132" s="6"/>
      <c r="AN132" s="6"/>
      <c r="AO132" s="6"/>
    </row>
    <row r="133" spans="1:41" ht="50.5" x14ac:dyDescent="0.3">
      <c r="A133" s="7">
        <f ca="1">IFERROR(__xludf.DUMMYFUNCTION("""COMPUTED_VALUE"""),1684)</f>
        <v>1684</v>
      </c>
      <c r="B133" s="7" t="str">
        <f ca="1">IFERROR(__xludf.DUMMYFUNCTION("""COMPUTED_VALUE"""),"24.13.00212")</f>
        <v>24.13.00212</v>
      </c>
      <c r="C133" s="7" t="str">
        <f ca="1">IFERROR(__xludf.DUMMYFUNCTION("""COMPUTED_VALUE"""),"PT ESAPUTLII PRAKARSA UTAMA")</f>
        <v>PT ESAPUTLII PRAKARSA UTAMA</v>
      </c>
      <c r="D133" s="7" t="str">
        <f ca="1">IFERROR(__xludf.DUMMYFUNCTION("""COMPUTED_VALUE"""),"esapratama_makassar@yahoo.com")</f>
        <v>esapratama_makassar@yahoo.com</v>
      </c>
      <c r="E133" s="7" t="str">
        <f ca="1">IFERROR(__xludf.DUMMYFUNCTION("""COMPUTED_VALUE"""),"JL. H.A. MAPPANYUKKI NO. 9, KOTA MAKASSAR, PROVINSI SULAWESI SELATAN")</f>
        <v>JL. H.A. MAPPANYUKKI NO. 9, KOTA MAKASSAR, PROVINSI SULAWESI SELATAN</v>
      </c>
      <c r="F133" s="7" t="str">
        <f ca="1">IFERROR(__xludf.DUMMYFUNCTION("""COMPUTED_VALUE"""),"PERSETUJUAN")</f>
        <v>PERSETUJUAN</v>
      </c>
      <c r="G133" s="7" t="str">
        <f ca="1">IFERROR(__xludf.DUMMYFUNCTION("""COMPUTED_VALUE"""),"BERUSAHA")</f>
        <v>BERUSAHA</v>
      </c>
      <c r="H133" s="7" t="str">
        <f ca="1">IFERROR(__xludf.DUMMYFUNCTION("""COMPUTED_VALUE"""),"SULAWESI TENGAH")</f>
        <v>SULAWESI TENGAH</v>
      </c>
      <c r="I133" s="7" t="str">
        <f ca="1">IFERROR(__xludf.DUMMYFUNCTION("""COMPUTED_VALUE"""),"LAUT SULAWESI")</f>
        <v>LAUT SULAWESI</v>
      </c>
      <c r="J133" s="7" t="str">
        <f ca="1">IFERROR(__xludf.DUMMYFUNCTION("""COMPUTED_VALUE"""),"INSTALASI PERIKANAN")</f>
        <v>INSTALASI PERIKANAN</v>
      </c>
      <c r="K133" s="7">
        <f ca="1">IFERROR(__xludf.DUMMYFUNCTION("""COMPUTED_VALUE"""),0.97)</f>
        <v>0.97</v>
      </c>
      <c r="L133" s="7" t="str">
        <f ca="1">IFERROR(__xludf.DUMMYFUNCTION("""COMPUTED_VALUE"""),"ha")</f>
        <v>ha</v>
      </c>
      <c r="M133" s="7"/>
      <c r="N133" s="7"/>
      <c r="O133" s="7" t="str">
        <f ca="1">IFERROR(__xludf.DUMMYFUNCTION("""COMPUTED_VALUE"""),"02042410517200004")</f>
        <v>02042410517200004</v>
      </c>
      <c r="P133" s="8">
        <f ca="1">IFERROR(__xludf.DUMMYFUNCTION("""COMPUTED_VALUE"""),45384)</f>
        <v>45384</v>
      </c>
      <c r="Q133" s="7"/>
      <c r="R133" s="7" t="str">
        <f ca="1">IFERROR(__xludf.DUMMYFUNCTION("""COMPUTED_VALUE"""),"Tidak Menyampaikan Laporan")</f>
        <v>Tidak Menyampaikan Laporan</v>
      </c>
      <c r="S133" s="7"/>
      <c r="T133" s="7"/>
      <c r="U133" s="7"/>
      <c r="V133" s="7"/>
      <c r="W133" s="7"/>
      <c r="X133" s="7"/>
      <c r="Y133" s="7"/>
      <c r="Z133" s="7"/>
      <c r="AA133" s="7" t="str">
        <f ca="1">IFERROR(__xludf.DUMMYFUNCTION("""COMPUTED_VALUE"""),"SP1")</f>
        <v>SP1</v>
      </c>
      <c r="AB133" s="9" t="str">
        <f ca="1">IFERROR(__xludf.DUMMYFUNCTION("""COMPUTED_VALUE"""),"TIDAK MENYAMPAIKAN LAPORAN 1")</f>
        <v>TIDAK MENYAMPAIKAN LAPORAN 1</v>
      </c>
      <c r="AC133" s="9"/>
      <c r="AD133" s="9"/>
      <c r="AE133" s="9"/>
      <c r="AF133" s="7" t="str">
        <f ca="1">IFERROR(__xludf.DUMMYFUNCTION("""COMPUTED_VALUE"""),"BITUNG")</f>
        <v>BITUNG</v>
      </c>
      <c r="AG133" s="7"/>
      <c r="AH133" s="7"/>
      <c r="AI133" s="7"/>
      <c r="AJ133" s="7"/>
      <c r="AK133" s="6"/>
      <c r="AL133" s="6"/>
      <c r="AM133" s="6"/>
      <c r="AN133" s="6"/>
      <c r="AO133" s="6"/>
    </row>
    <row r="134" spans="1:41" ht="50.5" x14ac:dyDescent="0.3">
      <c r="A134" s="7">
        <f ca="1">IFERROR(__xludf.DUMMYFUNCTION("""COMPUTED_VALUE"""),1685)</f>
        <v>1685</v>
      </c>
      <c r="B134" s="7" t="str">
        <f ca="1">IFERROR(__xludf.DUMMYFUNCTION("""COMPUTED_VALUE"""),"24.13.00213")</f>
        <v>24.13.00213</v>
      </c>
      <c r="C134" s="7" t="str">
        <f ca="1">IFERROR(__xludf.DUMMYFUNCTION("""COMPUTED_VALUE"""),"PT ESAPUTLII PRAKARSA UTAMA")</f>
        <v>PT ESAPUTLII PRAKARSA UTAMA</v>
      </c>
      <c r="D134" s="7" t="str">
        <f ca="1">IFERROR(__xludf.DUMMYFUNCTION("""COMPUTED_VALUE"""),"esapratama_makassar@yahoo.com")</f>
        <v>esapratama_makassar@yahoo.com</v>
      </c>
      <c r="E134" s="7" t="str">
        <f ca="1">IFERROR(__xludf.DUMMYFUNCTION("""COMPUTED_VALUE"""),"JL. H.A. MAPPANYUKKI NO. 9, KOTA MAKASSAR, PROVINSI SULAWESI SELATAN")</f>
        <v>JL. H.A. MAPPANYUKKI NO. 9, KOTA MAKASSAR, PROVINSI SULAWESI SELATAN</v>
      </c>
      <c r="F134" s="7" t="str">
        <f ca="1">IFERROR(__xludf.DUMMYFUNCTION("""COMPUTED_VALUE"""),"PERSETUJUAN")</f>
        <v>PERSETUJUAN</v>
      </c>
      <c r="G134" s="7" t="str">
        <f ca="1">IFERROR(__xludf.DUMMYFUNCTION("""COMPUTED_VALUE"""),"BERUSAHA")</f>
        <v>BERUSAHA</v>
      </c>
      <c r="H134" s="7" t="str">
        <f ca="1">IFERROR(__xludf.DUMMYFUNCTION("""COMPUTED_VALUE"""),"SULAWESI TENGAH")</f>
        <v>SULAWESI TENGAH</v>
      </c>
      <c r="I134" s="7" t="str">
        <f ca="1">IFERROR(__xludf.DUMMYFUNCTION("""COMPUTED_VALUE"""),"TELUK TOMINI")</f>
        <v>TELUK TOMINI</v>
      </c>
      <c r="J134" s="7" t="str">
        <f ca="1">IFERROR(__xludf.DUMMYFUNCTION("""COMPUTED_VALUE"""),"INSTALASI PERIKANAN")</f>
        <v>INSTALASI PERIKANAN</v>
      </c>
      <c r="K134" s="7">
        <f ca="1">IFERROR(__xludf.DUMMYFUNCTION("""COMPUTED_VALUE"""),0.2)</f>
        <v>0.2</v>
      </c>
      <c r="L134" s="7" t="str">
        <f ca="1">IFERROR(__xludf.DUMMYFUNCTION("""COMPUTED_VALUE"""),"ha")</f>
        <v>ha</v>
      </c>
      <c r="M134" s="7"/>
      <c r="N134" s="7"/>
      <c r="O134" s="7" t="str">
        <f ca="1">IFERROR(__xludf.DUMMYFUNCTION("""COMPUTED_VALUE"""),"02042410517200005")</f>
        <v>02042410517200005</v>
      </c>
      <c r="P134" s="8">
        <f ca="1">IFERROR(__xludf.DUMMYFUNCTION("""COMPUTED_VALUE"""),45384)</f>
        <v>45384</v>
      </c>
      <c r="Q134" s="8"/>
      <c r="R134" s="7" t="str">
        <f ca="1">IFERROR(__xludf.DUMMYFUNCTION("""COMPUTED_VALUE"""),"Tidak Menyampaikan Laporan")</f>
        <v>Tidak Menyampaikan Laporan</v>
      </c>
      <c r="S134" s="7"/>
      <c r="T134" s="7"/>
      <c r="U134" s="7"/>
      <c r="V134" s="7"/>
      <c r="W134" s="7"/>
      <c r="X134" s="7"/>
      <c r="Y134" s="7"/>
      <c r="Z134" s="7"/>
      <c r="AA134" s="7" t="str">
        <f ca="1">IFERROR(__xludf.DUMMYFUNCTION("""COMPUTED_VALUE"""),"SP1")</f>
        <v>SP1</v>
      </c>
      <c r="AB134" s="9" t="str">
        <f ca="1">IFERROR(__xludf.DUMMYFUNCTION("""COMPUTED_VALUE"""),"TIDAK MENYAMPAIKAN LAPORAN 1")</f>
        <v>TIDAK MENYAMPAIKAN LAPORAN 1</v>
      </c>
      <c r="AC134" s="9"/>
      <c r="AD134" s="9"/>
      <c r="AE134" s="11"/>
      <c r="AF134" s="7" t="str">
        <f ca="1">IFERROR(__xludf.DUMMYFUNCTION("""COMPUTED_VALUE"""),"BITUNG")</f>
        <v>BITUNG</v>
      </c>
      <c r="AG134" s="8"/>
      <c r="AH134" s="7"/>
      <c r="AI134" s="7"/>
      <c r="AJ134" s="7"/>
      <c r="AK134" s="6"/>
      <c r="AL134" s="6"/>
      <c r="AM134" s="6"/>
      <c r="AN134" s="6"/>
      <c r="AO134" s="6"/>
    </row>
    <row r="135" spans="1:41" ht="50.5" x14ac:dyDescent="0.3">
      <c r="A135" s="7">
        <f ca="1">IFERROR(__xludf.DUMMYFUNCTION("""COMPUTED_VALUE"""),1686)</f>
        <v>1686</v>
      </c>
      <c r="B135" s="7" t="str">
        <f ca="1">IFERROR(__xludf.DUMMYFUNCTION("""COMPUTED_VALUE"""),"24.13.00214")</f>
        <v>24.13.00214</v>
      </c>
      <c r="C135" s="7" t="str">
        <f ca="1">IFERROR(__xludf.DUMMYFUNCTION("""COMPUTED_VALUE"""),"PT ESAPUTLII PRAKARSA UTAMA")</f>
        <v>PT ESAPUTLII PRAKARSA UTAMA</v>
      </c>
      <c r="D135" s="7" t="str">
        <f ca="1">IFERROR(__xludf.DUMMYFUNCTION("""COMPUTED_VALUE"""),"esapratama_makassar@yahoo.com")</f>
        <v>esapratama_makassar@yahoo.com</v>
      </c>
      <c r="E135" s="7" t="str">
        <f ca="1">IFERROR(__xludf.DUMMYFUNCTION("""COMPUTED_VALUE"""),"JL. H.A. MAPPANYUKKI NO. 9, KOTA MAKASSAR, PROVINSI SULAWESI SELATAN")</f>
        <v>JL. H.A. MAPPANYUKKI NO. 9, KOTA MAKASSAR, PROVINSI SULAWESI SELATAN</v>
      </c>
      <c r="F135" s="7" t="str">
        <f ca="1">IFERROR(__xludf.DUMMYFUNCTION("""COMPUTED_VALUE"""),"PERSETUJUAN")</f>
        <v>PERSETUJUAN</v>
      </c>
      <c r="G135" s="7" t="str">
        <f ca="1">IFERROR(__xludf.DUMMYFUNCTION("""COMPUTED_VALUE"""),"BERUSAHA")</f>
        <v>BERUSAHA</v>
      </c>
      <c r="H135" s="7" t="str">
        <f ca="1">IFERROR(__xludf.DUMMYFUNCTION("""COMPUTED_VALUE"""),"SULAWESI TENGAH")</f>
        <v>SULAWESI TENGAH</v>
      </c>
      <c r="I135" s="7" t="str">
        <f ca="1">IFERROR(__xludf.DUMMYFUNCTION("""COMPUTED_VALUE"""),"SELAT MAKASSAR")</f>
        <v>SELAT MAKASSAR</v>
      </c>
      <c r="J135" s="7" t="str">
        <f ca="1">IFERROR(__xludf.DUMMYFUNCTION("""COMPUTED_VALUE"""),"INSTALASI PERIKANAN")</f>
        <v>INSTALASI PERIKANAN</v>
      </c>
      <c r="K135" s="7">
        <f ca="1">IFERROR(__xludf.DUMMYFUNCTION("""COMPUTED_VALUE"""),0.13)</f>
        <v>0.13</v>
      </c>
      <c r="L135" s="7" t="str">
        <f ca="1">IFERROR(__xludf.DUMMYFUNCTION("""COMPUTED_VALUE"""),"ha")</f>
        <v>ha</v>
      </c>
      <c r="M135" s="7"/>
      <c r="N135" s="7"/>
      <c r="O135" s="7" t="str">
        <f ca="1">IFERROR(__xludf.DUMMYFUNCTION("""COMPUTED_VALUE"""),"02042410517200006")</f>
        <v>02042410517200006</v>
      </c>
      <c r="P135" s="8">
        <f ca="1">IFERROR(__xludf.DUMMYFUNCTION("""COMPUTED_VALUE"""),45384)</f>
        <v>45384</v>
      </c>
      <c r="Q135" s="8"/>
      <c r="R135" s="7" t="str">
        <f ca="1">IFERROR(__xludf.DUMMYFUNCTION("""COMPUTED_VALUE"""),"Tidak Menyampaikan Laporan")</f>
        <v>Tidak Menyampaikan Laporan</v>
      </c>
      <c r="S135" s="7"/>
      <c r="T135" s="7"/>
      <c r="U135" s="7"/>
      <c r="V135" s="7"/>
      <c r="W135" s="7"/>
      <c r="X135" s="7"/>
      <c r="Y135" s="7"/>
      <c r="Z135" s="7"/>
      <c r="AA135" s="7" t="str">
        <f ca="1">IFERROR(__xludf.DUMMYFUNCTION("""COMPUTED_VALUE"""),"SP1")</f>
        <v>SP1</v>
      </c>
      <c r="AB135" s="9" t="str">
        <f ca="1">IFERROR(__xludf.DUMMYFUNCTION("""COMPUTED_VALUE"""),"TIDAK MENYAMPAIKAN LAPORAN 1")</f>
        <v>TIDAK MENYAMPAIKAN LAPORAN 1</v>
      </c>
      <c r="AC135" s="9"/>
      <c r="AD135" s="9"/>
      <c r="AE135" s="11"/>
      <c r="AF135" s="7" t="str">
        <f ca="1">IFERROR(__xludf.DUMMYFUNCTION("""COMPUTED_VALUE"""),"BITUNG")</f>
        <v>BITUNG</v>
      </c>
      <c r="AG135" s="8"/>
      <c r="AH135" s="7"/>
      <c r="AI135" s="7"/>
      <c r="AJ135" s="7"/>
      <c r="AK135" s="6"/>
      <c r="AL135" s="6"/>
      <c r="AM135" s="6"/>
      <c r="AN135" s="6"/>
      <c r="AO135" s="6"/>
    </row>
    <row r="136" spans="1:41" ht="50.5" x14ac:dyDescent="0.3">
      <c r="A136" s="7">
        <f ca="1">IFERROR(__xludf.DUMMYFUNCTION("""COMPUTED_VALUE"""),1708)</f>
        <v>1708</v>
      </c>
      <c r="B136" s="7" t="str">
        <f ca="1">IFERROR(__xludf.DUMMYFUNCTION("""COMPUTED_VALUE"""),"24.13.00287")</f>
        <v>24.13.00287</v>
      </c>
      <c r="C136" s="7" t="str">
        <f ca="1">IFERROR(__xludf.DUMMYFUNCTION("""COMPUTED_VALUE"""),"PT PERTAMINA PATRA NIAGA")</f>
        <v>PT PERTAMINA PATRA NIAGA</v>
      </c>
      <c r="D136" s="7" t="str">
        <f ca="1">IFERROR(__xludf.DUMMYFUNCTION("""COMPUTED_VALUE"""),"0215209009/perizinan.ppn@pertamina.com")</f>
        <v>0215209009/perizinan.ppn@pertamina.com</v>
      </c>
      <c r="E136" s="7" t="str">
        <f ca="1">IFERROR(__xludf.DUMMYFUNCTION("""COMPUTED_VALUE"""),"GEDUNG WISMA TUGU II LT. 2, JL. HR. RASUNA SAID KAV. C7-9, KELURAHAN KARET KUNINGAN, KECAMATAN SETIABUDI, KOTA JAKARTA SELATAN, PROVINSI DKI JAKARTA")</f>
        <v>GEDUNG WISMA TUGU II LT. 2, JL. HR. RASUNA SAID KAV. C7-9, KELURAHAN KARET KUNINGAN, KECAMATAN SETIABUDI, KOTA JAKARTA SELATAN, PROVINSI DKI JAKARTA</v>
      </c>
      <c r="F136" s="7" t="str">
        <f ca="1">IFERROR(__xludf.DUMMYFUNCTION("""COMPUTED_VALUE"""),"PERSETUJUAN")</f>
        <v>PERSETUJUAN</v>
      </c>
      <c r="G136" s="7" t="str">
        <f ca="1">IFERROR(__xludf.DUMMYFUNCTION("""COMPUTED_VALUE"""),"BERUSAHA")</f>
        <v>BERUSAHA</v>
      </c>
      <c r="H136" s="7" t="str">
        <f ca="1">IFERROR(__xludf.DUMMYFUNCTION("""COMPUTED_VALUE"""),"SULAWESI TENGAH")</f>
        <v>SULAWESI TENGAH</v>
      </c>
      <c r="I136" s="7" t="str">
        <f ca="1">IFERROR(__xludf.DUMMYFUNCTION("""COMPUTED_VALUE"""),"SELAT MAKASSAR")</f>
        <v>SELAT MAKASSAR</v>
      </c>
      <c r="J136" s="7" t="str">
        <f ca="1">IFERROR(__xludf.DUMMYFUNCTION("""COMPUTED_VALUE"""),"DERMAGA FUEL TERMINAL TOLITOLI")</f>
        <v>DERMAGA FUEL TERMINAL TOLITOLI</v>
      </c>
      <c r="K136" s="7">
        <f ca="1">IFERROR(__xludf.DUMMYFUNCTION("""COMPUTED_VALUE"""),4.74)</f>
        <v>4.74</v>
      </c>
      <c r="L136" s="7" t="str">
        <f ca="1">IFERROR(__xludf.DUMMYFUNCTION("""COMPUTED_VALUE"""),"ha")</f>
        <v>ha</v>
      </c>
      <c r="M136" s="7"/>
      <c r="N136" s="7"/>
      <c r="O136" s="7" t="str">
        <f ca="1">IFERROR(__xludf.DUMMYFUNCTION("""COMPUTED_VALUE"""),"05042410517200007")</f>
        <v>05042410517200007</v>
      </c>
      <c r="P136" s="8">
        <f ca="1">IFERROR(__xludf.DUMMYFUNCTION("""COMPUTED_VALUE"""),45387)</f>
        <v>45387</v>
      </c>
      <c r="Q136" s="7"/>
      <c r="R136" s="7" t="str">
        <f ca="1">IFERROR(__xludf.DUMMYFUNCTION("""COMPUTED_VALUE"""),"Tidak Menyampaikan Laporan")</f>
        <v>Tidak Menyampaikan Laporan</v>
      </c>
      <c r="S136" s="7"/>
      <c r="T136" s="7"/>
      <c r="U136" s="7"/>
      <c r="V136" s="7"/>
      <c r="W136" s="7"/>
      <c r="X136" s="7"/>
      <c r="Y136" s="7"/>
      <c r="Z136" s="7"/>
      <c r="AA136" s="7" t="str">
        <f ca="1">IFERROR(__xludf.DUMMYFUNCTION("""COMPUTED_VALUE"""),"SP1")</f>
        <v>SP1</v>
      </c>
      <c r="AB136" s="9" t="str">
        <f ca="1">IFERROR(__xludf.DUMMYFUNCTION("""COMPUTED_VALUE"""),"TIDAK MENYAMPAIKAN LAPORAN 1")</f>
        <v>TIDAK MENYAMPAIKAN LAPORAN 1</v>
      </c>
      <c r="AC136" s="9"/>
      <c r="AD136" s="9"/>
      <c r="AE136" s="9"/>
      <c r="AF136" s="7" t="str">
        <f ca="1">IFERROR(__xludf.DUMMYFUNCTION("""COMPUTED_VALUE"""),"BITUNG")</f>
        <v>BITUNG</v>
      </c>
      <c r="AG136" s="7"/>
      <c r="AH136" s="7"/>
      <c r="AI136" s="7"/>
      <c r="AJ136" s="7"/>
      <c r="AK136" s="6"/>
      <c r="AL136" s="6"/>
      <c r="AM136" s="6"/>
      <c r="AN136" s="6"/>
      <c r="AO136" s="6"/>
    </row>
    <row r="137" spans="1:41" ht="25.5" x14ac:dyDescent="0.3">
      <c r="A137" s="7">
        <f ca="1">IFERROR(__xludf.DUMMYFUNCTION("""COMPUTED_VALUE"""),1711)</f>
        <v>1711</v>
      </c>
      <c r="B137" s="7" t="str">
        <f ca="1">IFERROR(__xludf.DUMMYFUNCTION("""COMPUTED_VALUE"""),"24.13.00290")</f>
        <v>24.13.00290</v>
      </c>
      <c r="C137" s="7" t="str">
        <f ca="1">IFERROR(__xludf.DUMMYFUNCTION("""COMPUTED_VALUE"""),"PT HUADI NICKEL - ALLOY INDONESIA")</f>
        <v>PT HUADI NICKEL - ALLOY INDONESIA</v>
      </c>
      <c r="D137" s="7" t="str">
        <f ca="1">IFERROR(__xludf.DUMMYFUNCTION("""COMPUTED_VALUE"""),"02129333500/huadiindonesia@gmail.com")</f>
        <v>02129333500/huadiindonesia@gmail.com</v>
      </c>
      <c r="E137" s="7" t="str">
        <f ca="1">IFERROR(__xludf.DUMMYFUNCTION("""COMPUTED_VALUE"""),"JL. POROS BANTAENG BULUKUMBA, DESA PAPAN LOE, KECAMATAN PAJUKUKANG, KABUPATEN BANTAENG, PROVINSI SULAWESI SELATAN")</f>
        <v>JL. POROS BANTAENG BULUKUMBA, DESA PAPAN LOE, KECAMATAN PAJUKUKANG, KABUPATEN BANTAENG, PROVINSI SULAWESI SELATAN</v>
      </c>
      <c r="F137" s="7" t="str">
        <f ca="1">IFERROR(__xludf.DUMMYFUNCTION("""COMPUTED_VALUE"""),"PERSETUJUAN")</f>
        <v>PERSETUJUAN</v>
      </c>
      <c r="G137" s="7" t="str">
        <f ca="1">IFERROR(__xludf.DUMMYFUNCTION("""COMPUTED_VALUE"""),"BERUSAHA")</f>
        <v>BERUSAHA</v>
      </c>
      <c r="H137" s="7" t="str">
        <f ca="1">IFERROR(__xludf.DUMMYFUNCTION("""COMPUTED_VALUE"""),"SULAWESI SELATAN")</f>
        <v>SULAWESI SELATAN</v>
      </c>
      <c r="I137" s="7" t="str">
        <f ca="1">IFERROR(__xludf.DUMMYFUNCTION("""COMPUTED_VALUE"""),"LAUT FLORES")</f>
        <v>LAUT FLORES</v>
      </c>
      <c r="J137" s="7" t="str">
        <f ca="1">IFERROR(__xludf.DUMMYFUNCTION("""COMPUTED_VALUE"""),"TERMINAL KHUSUS")</f>
        <v>TERMINAL KHUSUS</v>
      </c>
      <c r="K137" s="7">
        <f ca="1">IFERROR(__xludf.DUMMYFUNCTION("""COMPUTED_VALUE"""),143.88)</f>
        <v>143.88</v>
      </c>
      <c r="L137" s="7" t="str">
        <f ca="1">IFERROR(__xludf.DUMMYFUNCTION("""COMPUTED_VALUE"""),"ha")</f>
        <v>ha</v>
      </c>
      <c r="M137" s="7"/>
      <c r="N137" s="7"/>
      <c r="O137" s="7" t="str">
        <f ca="1">IFERROR(__xludf.DUMMYFUNCTION("""COMPUTED_VALUE"""),"18042410517300013")</f>
        <v>18042410517300013</v>
      </c>
      <c r="P137" s="8">
        <f ca="1">IFERROR(__xludf.DUMMYFUNCTION("""COMPUTED_VALUE"""),45400)</f>
        <v>45400</v>
      </c>
      <c r="Q137" s="8">
        <f ca="1">IFERROR(__xludf.DUMMYFUNCTION("""COMPUTED_VALUE"""),45770)</f>
        <v>45770</v>
      </c>
      <c r="R137" s="7" t="str">
        <f ca="1">IFERROR(__xludf.DUMMYFUNCTION("""COMPUTED_VALUE"""),"Terlambat")</f>
        <v>Terlambat</v>
      </c>
      <c r="S137" s="7"/>
      <c r="T137" s="7"/>
      <c r="U137" s="7"/>
      <c r="V137" s="7"/>
      <c r="W137" s="7"/>
      <c r="X137" s="7"/>
      <c r="Y137" s="7"/>
      <c r="Z137" s="7"/>
      <c r="AA137" s="7" t="str">
        <f ca="1">IFERROR(__xludf.DUMMYFUNCTION("""COMPUTED_VALUE"""),"SP1")</f>
        <v>SP1</v>
      </c>
      <c r="AB137" s="9" t="str">
        <f ca="1">IFERROR(__xludf.DUMMYFUNCTION("""COMPUTED_VALUE"""),"LAPORAN 1 TERLAMBAT")</f>
        <v>LAPORAN 1 TERLAMBAT</v>
      </c>
      <c r="AC137" s="9"/>
      <c r="AD137" s="9"/>
      <c r="AE137" s="11"/>
      <c r="AF137" s="7" t="str">
        <f ca="1">IFERROR(__xludf.DUMMYFUNCTION("""COMPUTED_VALUE"""),"BITUNG")</f>
        <v>BITUNG</v>
      </c>
      <c r="AG137" s="8"/>
      <c r="AH137" s="7"/>
      <c r="AI137" s="7"/>
      <c r="AJ137" s="7"/>
      <c r="AK137" s="6"/>
      <c r="AL137" s="6"/>
      <c r="AM137" s="6"/>
      <c r="AN137" s="6"/>
      <c r="AO137" s="6"/>
    </row>
    <row r="138" spans="1:41" ht="14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15"/>
      <c r="AC138" s="15"/>
      <c r="AD138" s="15"/>
      <c r="AE138" s="15"/>
      <c r="AF138" s="6"/>
      <c r="AG138" s="6"/>
      <c r="AH138" s="6"/>
      <c r="AI138" s="6"/>
      <c r="AJ138" s="6"/>
      <c r="AK138" s="6"/>
      <c r="AL138" s="6"/>
      <c r="AM138" s="6"/>
      <c r="AN138" s="6"/>
      <c r="AO138" s="6"/>
    </row>
    <row r="139" spans="1:41" ht="14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15"/>
      <c r="AC139" s="15"/>
      <c r="AD139" s="15"/>
      <c r="AE139" s="15"/>
      <c r="AF139" s="6"/>
      <c r="AG139" s="6"/>
      <c r="AH139" s="6"/>
      <c r="AI139" s="6"/>
      <c r="AJ139" s="6"/>
      <c r="AK139" s="6"/>
      <c r="AL139" s="6"/>
      <c r="AM139" s="6"/>
      <c r="AN139" s="6"/>
      <c r="AO139" s="6"/>
    </row>
    <row r="140" spans="1:41" ht="14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15"/>
      <c r="AC140" s="15"/>
      <c r="AD140" s="15"/>
      <c r="AE140" s="15"/>
      <c r="AF140" s="6"/>
      <c r="AG140" s="6"/>
      <c r="AH140" s="6"/>
      <c r="AI140" s="6"/>
      <c r="AJ140" s="6"/>
      <c r="AK140" s="6"/>
      <c r="AL140" s="6"/>
      <c r="AM140" s="6"/>
      <c r="AN140" s="6"/>
      <c r="AO140" s="6"/>
    </row>
    <row r="141" spans="1:41" ht="14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15"/>
      <c r="AC141" s="15"/>
      <c r="AD141" s="15"/>
      <c r="AE141" s="15"/>
      <c r="AF141" s="6"/>
      <c r="AG141" s="6"/>
      <c r="AH141" s="6"/>
      <c r="AI141" s="6"/>
      <c r="AJ141" s="6"/>
      <c r="AK141" s="6"/>
      <c r="AL141" s="6"/>
      <c r="AM141" s="6"/>
      <c r="AN141" s="6"/>
      <c r="AO141" s="6"/>
    </row>
    <row r="142" spans="1:41" ht="14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15"/>
      <c r="AC142" s="15"/>
      <c r="AD142" s="15"/>
      <c r="AE142" s="15"/>
      <c r="AF142" s="6"/>
      <c r="AG142" s="6"/>
      <c r="AH142" s="6"/>
      <c r="AI142" s="6"/>
      <c r="AJ142" s="6"/>
      <c r="AK142" s="6"/>
      <c r="AL142" s="6"/>
      <c r="AM142" s="6"/>
      <c r="AN142" s="6"/>
      <c r="AO142" s="6"/>
    </row>
    <row r="143" spans="1:41" ht="14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15"/>
      <c r="AC143" s="15"/>
      <c r="AD143" s="15"/>
      <c r="AE143" s="15"/>
      <c r="AF143" s="6"/>
      <c r="AG143" s="6"/>
      <c r="AH143" s="6"/>
      <c r="AI143" s="6"/>
      <c r="AJ143" s="6"/>
      <c r="AK143" s="6"/>
      <c r="AL143" s="6"/>
      <c r="AM143" s="6"/>
      <c r="AN143" s="6"/>
      <c r="AO143" s="6"/>
    </row>
    <row r="144" spans="1:41" ht="14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15"/>
      <c r="AC144" s="15"/>
      <c r="AD144" s="15"/>
      <c r="AE144" s="15"/>
      <c r="AF144" s="6"/>
      <c r="AG144" s="6"/>
      <c r="AH144" s="6"/>
      <c r="AI144" s="6"/>
      <c r="AJ144" s="6"/>
      <c r="AK144" s="6"/>
      <c r="AL144" s="6"/>
      <c r="AM144" s="6"/>
      <c r="AN144" s="6"/>
      <c r="AO144" s="6"/>
    </row>
    <row r="145" spans="1:41" ht="14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15"/>
      <c r="AC145" s="15"/>
      <c r="AD145" s="15"/>
      <c r="AE145" s="15"/>
      <c r="AF145" s="6"/>
      <c r="AG145" s="6"/>
      <c r="AH145" s="6"/>
      <c r="AI145" s="6"/>
      <c r="AJ145" s="6"/>
      <c r="AK145" s="6"/>
      <c r="AL145" s="6"/>
      <c r="AM145" s="6"/>
      <c r="AN145" s="6"/>
      <c r="AO145" s="6"/>
    </row>
    <row r="146" spans="1:41" ht="14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15"/>
      <c r="AC146" s="15"/>
      <c r="AD146" s="15"/>
      <c r="AE146" s="15"/>
      <c r="AF146" s="6"/>
      <c r="AG146" s="6"/>
      <c r="AH146" s="6"/>
      <c r="AI146" s="6"/>
      <c r="AJ146" s="6"/>
      <c r="AK146" s="6"/>
      <c r="AL146" s="6"/>
      <c r="AM146" s="6"/>
      <c r="AN146" s="6"/>
      <c r="AO146" s="6"/>
    </row>
    <row r="147" spans="1:41" ht="14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15"/>
      <c r="AC147" s="15"/>
      <c r="AD147" s="15"/>
      <c r="AE147" s="15"/>
      <c r="AF147" s="6"/>
      <c r="AG147" s="6"/>
      <c r="AH147" s="6"/>
      <c r="AI147" s="6"/>
      <c r="AJ147" s="6"/>
      <c r="AK147" s="6"/>
      <c r="AL147" s="6"/>
      <c r="AM147" s="6"/>
      <c r="AN147" s="6"/>
      <c r="AO147" s="6"/>
    </row>
    <row r="148" spans="1:41" ht="14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15"/>
      <c r="AC148" s="15"/>
      <c r="AD148" s="15"/>
      <c r="AE148" s="15"/>
      <c r="AF148" s="6"/>
      <c r="AG148" s="6"/>
      <c r="AH148" s="6"/>
      <c r="AI148" s="6"/>
      <c r="AJ148" s="6"/>
      <c r="AK148" s="6"/>
      <c r="AL148" s="6"/>
      <c r="AM148" s="6"/>
      <c r="AN148" s="6"/>
      <c r="AO148" s="6"/>
    </row>
    <row r="149" spans="1:41" ht="14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15"/>
      <c r="AC149" s="15"/>
      <c r="AD149" s="15"/>
      <c r="AE149" s="15"/>
      <c r="AF149" s="6"/>
      <c r="AG149" s="6"/>
      <c r="AH149" s="6"/>
      <c r="AI149" s="6"/>
      <c r="AJ149" s="6"/>
      <c r="AK149" s="6"/>
      <c r="AL149" s="6"/>
      <c r="AM149" s="6"/>
      <c r="AN149" s="6"/>
      <c r="AO149" s="6"/>
    </row>
    <row r="150" spans="1:41" ht="14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15"/>
      <c r="AC150" s="15"/>
      <c r="AD150" s="15"/>
      <c r="AE150" s="15"/>
      <c r="AF150" s="6"/>
      <c r="AG150" s="6"/>
      <c r="AH150" s="6"/>
      <c r="AI150" s="6"/>
      <c r="AJ150" s="6"/>
      <c r="AK150" s="6"/>
      <c r="AL150" s="6"/>
      <c r="AM150" s="6"/>
      <c r="AN150" s="6"/>
      <c r="AO150" s="6"/>
    </row>
    <row r="151" spans="1:41" ht="14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15"/>
      <c r="AC151" s="15"/>
      <c r="AD151" s="15"/>
      <c r="AE151" s="15"/>
      <c r="AF151" s="6"/>
      <c r="AG151" s="6"/>
      <c r="AH151" s="6"/>
      <c r="AI151" s="6"/>
      <c r="AJ151" s="6"/>
      <c r="AK151" s="6"/>
      <c r="AL151" s="6"/>
      <c r="AM151" s="6"/>
      <c r="AN151" s="6"/>
      <c r="AO151" s="6"/>
    </row>
    <row r="152" spans="1:41" ht="14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15"/>
      <c r="AC152" s="15"/>
      <c r="AD152" s="15"/>
      <c r="AE152" s="15"/>
      <c r="AF152" s="6"/>
      <c r="AG152" s="6"/>
      <c r="AH152" s="6"/>
      <c r="AI152" s="6"/>
      <c r="AJ152" s="6"/>
      <c r="AK152" s="6"/>
      <c r="AL152" s="6"/>
      <c r="AM152" s="6"/>
      <c r="AN152" s="6"/>
      <c r="AO152" s="6"/>
    </row>
    <row r="153" spans="1:41" ht="14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15"/>
      <c r="AC153" s="15"/>
      <c r="AD153" s="15"/>
      <c r="AE153" s="15"/>
      <c r="AF153" s="6"/>
      <c r="AG153" s="6"/>
      <c r="AH153" s="6"/>
      <c r="AI153" s="6"/>
      <c r="AJ153" s="6"/>
      <c r="AK153" s="6"/>
      <c r="AL153" s="6"/>
      <c r="AM153" s="6"/>
      <c r="AN153" s="6"/>
      <c r="AO153" s="6"/>
    </row>
    <row r="154" spans="1:41" ht="14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15"/>
      <c r="AC154" s="15"/>
      <c r="AD154" s="15"/>
      <c r="AE154" s="15"/>
      <c r="AF154" s="6"/>
      <c r="AG154" s="6"/>
      <c r="AH154" s="6"/>
      <c r="AI154" s="6"/>
      <c r="AJ154" s="6"/>
      <c r="AK154" s="6"/>
      <c r="AL154" s="6"/>
      <c r="AM154" s="6"/>
      <c r="AN154" s="6"/>
      <c r="AO154" s="6"/>
    </row>
    <row r="155" spans="1:41" ht="14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15"/>
      <c r="AC155" s="15"/>
      <c r="AD155" s="15"/>
      <c r="AE155" s="15"/>
      <c r="AF155" s="6"/>
      <c r="AG155" s="6"/>
      <c r="AH155" s="6"/>
      <c r="AI155" s="6"/>
      <c r="AJ155" s="6"/>
      <c r="AK155" s="6"/>
      <c r="AL155" s="6"/>
      <c r="AM155" s="6"/>
      <c r="AN155" s="6"/>
      <c r="AO155" s="6"/>
    </row>
    <row r="156" spans="1:41" ht="14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15"/>
      <c r="AC156" s="15"/>
      <c r="AD156" s="15"/>
      <c r="AE156" s="15"/>
      <c r="AF156" s="6"/>
      <c r="AG156" s="6"/>
      <c r="AH156" s="6"/>
      <c r="AI156" s="6"/>
      <c r="AJ156" s="6"/>
      <c r="AK156" s="6"/>
      <c r="AL156" s="6"/>
      <c r="AM156" s="6"/>
      <c r="AN156" s="6"/>
      <c r="AO156" s="6"/>
    </row>
    <row r="157" spans="1:41" ht="14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15"/>
      <c r="AC157" s="15"/>
      <c r="AD157" s="15"/>
      <c r="AE157" s="15"/>
      <c r="AF157" s="6"/>
      <c r="AG157" s="6"/>
      <c r="AH157" s="6"/>
      <c r="AI157" s="6"/>
      <c r="AJ157" s="6"/>
      <c r="AK157" s="6"/>
      <c r="AL157" s="6"/>
      <c r="AM157" s="6"/>
      <c r="AN157" s="6"/>
      <c r="AO157" s="6"/>
    </row>
    <row r="158" spans="1:41" ht="14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15"/>
      <c r="AC158" s="15"/>
      <c r="AD158" s="15"/>
      <c r="AE158" s="15"/>
      <c r="AF158" s="6"/>
      <c r="AG158" s="6"/>
      <c r="AH158" s="6"/>
      <c r="AI158" s="6"/>
      <c r="AJ158" s="6"/>
      <c r="AK158" s="6"/>
      <c r="AL158" s="6"/>
      <c r="AM158" s="6"/>
      <c r="AN158" s="6"/>
      <c r="AO158" s="6"/>
    </row>
    <row r="159" spans="1:41" ht="14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15"/>
      <c r="AC159" s="15"/>
      <c r="AD159" s="15"/>
      <c r="AE159" s="15"/>
      <c r="AF159" s="6"/>
      <c r="AG159" s="6"/>
      <c r="AH159" s="6"/>
      <c r="AI159" s="6"/>
      <c r="AJ159" s="6"/>
      <c r="AK159" s="6"/>
      <c r="AL159" s="6"/>
      <c r="AM159" s="6"/>
      <c r="AN159" s="6"/>
      <c r="AO159" s="6"/>
    </row>
    <row r="160" spans="1:41" ht="14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15"/>
      <c r="AC160" s="15"/>
      <c r="AD160" s="15"/>
      <c r="AE160" s="15"/>
      <c r="AF160" s="6"/>
      <c r="AG160" s="6"/>
      <c r="AH160" s="6"/>
      <c r="AI160" s="6"/>
      <c r="AJ160" s="6"/>
      <c r="AK160" s="6"/>
      <c r="AL160" s="6"/>
      <c r="AM160" s="6"/>
      <c r="AN160" s="6"/>
      <c r="AO160" s="6"/>
    </row>
    <row r="161" spans="1:41" ht="14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15"/>
      <c r="AC161" s="15"/>
      <c r="AD161" s="15"/>
      <c r="AE161" s="15"/>
      <c r="AF161" s="6"/>
      <c r="AG161" s="6"/>
      <c r="AH161" s="6"/>
      <c r="AI161" s="6"/>
      <c r="AJ161" s="6"/>
      <c r="AK161" s="6"/>
      <c r="AL161" s="6"/>
      <c r="AM161" s="6"/>
      <c r="AN161" s="6"/>
      <c r="AO161" s="6"/>
    </row>
    <row r="162" spans="1:41" ht="14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15"/>
      <c r="AC162" s="15"/>
      <c r="AD162" s="15"/>
      <c r="AE162" s="15"/>
      <c r="AF162" s="6"/>
      <c r="AG162" s="6"/>
      <c r="AH162" s="6"/>
      <c r="AI162" s="6"/>
      <c r="AJ162" s="6"/>
      <c r="AK162" s="6"/>
      <c r="AL162" s="6"/>
      <c r="AM162" s="6"/>
      <c r="AN162" s="6"/>
      <c r="AO162" s="6"/>
    </row>
    <row r="163" spans="1:41" ht="14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15"/>
      <c r="AC163" s="15"/>
      <c r="AD163" s="15"/>
      <c r="AE163" s="15"/>
      <c r="AF163" s="6"/>
      <c r="AG163" s="6"/>
      <c r="AH163" s="6"/>
      <c r="AI163" s="6"/>
      <c r="AJ163" s="6"/>
      <c r="AK163" s="6"/>
      <c r="AL163" s="6"/>
      <c r="AM163" s="6"/>
      <c r="AN163" s="6"/>
      <c r="AO163" s="6"/>
    </row>
    <row r="164" spans="1:41" ht="14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15"/>
      <c r="AC164" s="15"/>
      <c r="AD164" s="15"/>
      <c r="AE164" s="15"/>
      <c r="AF164" s="6"/>
      <c r="AG164" s="6"/>
      <c r="AH164" s="6"/>
      <c r="AI164" s="6"/>
      <c r="AJ164" s="6"/>
      <c r="AK164" s="6"/>
      <c r="AL164" s="6"/>
      <c r="AM164" s="6"/>
      <c r="AN164" s="6"/>
      <c r="AO164" s="6"/>
    </row>
    <row r="165" spans="1:41" ht="14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15"/>
      <c r="AC165" s="15"/>
      <c r="AD165" s="15"/>
      <c r="AE165" s="15"/>
      <c r="AF165" s="6"/>
      <c r="AG165" s="6"/>
      <c r="AH165" s="6"/>
      <c r="AI165" s="6"/>
      <c r="AJ165" s="6"/>
      <c r="AK165" s="6"/>
      <c r="AL165" s="6"/>
      <c r="AM165" s="6"/>
      <c r="AN165" s="6"/>
      <c r="AO165" s="6"/>
    </row>
    <row r="166" spans="1:41" ht="14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15"/>
      <c r="AC166" s="15"/>
      <c r="AD166" s="15"/>
      <c r="AE166" s="15"/>
      <c r="AF166" s="6"/>
      <c r="AG166" s="6"/>
      <c r="AH166" s="6"/>
      <c r="AI166" s="6"/>
      <c r="AJ166" s="6"/>
      <c r="AK166" s="6"/>
      <c r="AL166" s="6"/>
      <c r="AM166" s="6"/>
      <c r="AN166" s="6"/>
      <c r="AO166" s="6"/>
    </row>
    <row r="167" spans="1:41" ht="14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15"/>
      <c r="AC167" s="15"/>
      <c r="AD167" s="15"/>
      <c r="AE167" s="15"/>
      <c r="AF167" s="6"/>
      <c r="AG167" s="6"/>
      <c r="AH167" s="6"/>
      <c r="AI167" s="6"/>
      <c r="AJ167" s="6"/>
      <c r="AK167" s="6"/>
      <c r="AL167" s="6"/>
      <c r="AM167" s="6"/>
      <c r="AN167" s="6"/>
      <c r="AO167" s="6"/>
    </row>
    <row r="168" spans="1:41" ht="14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15"/>
      <c r="AC168" s="15"/>
      <c r="AD168" s="15"/>
      <c r="AE168" s="15"/>
      <c r="AF168" s="6"/>
      <c r="AG168" s="6"/>
      <c r="AH168" s="6"/>
      <c r="AI168" s="6"/>
      <c r="AJ168" s="6"/>
      <c r="AK168" s="6"/>
      <c r="AL168" s="6"/>
      <c r="AM168" s="6"/>
      <c r="AN168" s="6"/>
      <c r="AO168" s="6"/>
    </row>
    <row r="169" spans="1:41" ht="14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15"/>
      <c r="AC169" s="15"/>
      <c r="AD169" s="15"/>
      <c r="AE169" s="15"/>
      <c r="AF169" s="6"/>
      <c r="AG169" s="6"/>
      <c r="AH169" s="6"/>
      <c r="AI169" s="6"/>
      <c r="AJ169" s="6"/>
      <c r="AK169" s="6"/>
      <c r="AL169" s="6"/>
      <c r="AM169" s="6"/>
      <c r="AN169" s="6"/>
      <c r="AO169" s="6"/>
    </row>
    <row r="170" spans="1:41" ht="14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15"/>
      <c r="AC170" s="15"/>
      <c r="AD170" s="15"/>
      <c r="AE170" s="15"/>
      <c r="AF170" s="6"/>
      <c r="AG170" s="6"/>
      <c r="AH170" s="6"/>
      <c r="AI170" s="6"/>
      <c r="AJ170" s="6"/>
      <c r="AK170" s="6"/>
      <c r="AL170" s="6"/>
      <c r="AM170" s="6"/>
      <c r="AN170" s="6"/>
      <c r="AO170" s="6"/>
    </row>
    <row r="171" spans="1:41" ht="14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15"/>
      <c r="AC171" s="15"/>
      <c r="AD171" s="15"/>
      <c r="AE171" s="15"/>
      <c r="AF171" s="6"/>
      <c r="AG171" s="6"/>
      <c r="AH171" s="6"/>
      <c r="AI171" s="6"/>
      <c r="AJ171" s="6"/>
      <c r="AK171" s="6"/>
      <c r="AL171" s="6"/>
      <c r="AM171" s="6"/>
      <c r="AN171" s="6"/>
      <c r="AO171" s="6"/>
    </row>
    <row r="172" spans="1:41" ht="14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15"/>
      <c r="AC172" s="15"/>
      <c r="AD172" s="15"/>
      <c r="AE172" s="15"/>
      <c r="AF172" s="6"/>
      <c r="AG172" s="6"/>
      <c r="AH172" s="6"/>
      <c r="AI172" s="6"/>
      <c r="AJ172" s="6"/>
      <c r="AK172" s="6"/>
      <c r="AL172" s="6"/>
      <c r="AM172" s="6"/>
      <c r="AN172" s="6"/>
      <c r="AO172" s="6"/>
    </row>
    <row r="173" spans="1:41" ht="14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15"/>
      <c r="AC173" s="15"/>
      <c r="AD173" s="15"/>
      <c r="AE173" s="15"/>
      <c r="AF173" s="6"/>
      <c r="AG173" s="6"/>
      <c r="AH173" s="6"/>
      <c r="AI173" s="6"/>
      <c r="AJ173" s="6"/>
      <c r="AK173" s="6"/>
      <c r="AL173" s="6"/>
      <c r="AM173" s="6"/>
      <c r="AN173" s="6"/>
      <c r="AO173" s="6"/>
    </row>
    <row r="174" spans="1:41" ht="14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15"/>
      <c r="AC174" s="15"/>
      <c r="AD174" s="15"/>
      <c r="AE174" s="15"/>
      <c r="AF174" s="6"/>
      <c r="AG174" s="6"/>
      <c r="AH174" s="6"/>
      <c r="AI174" s="6"/>
      <c r="AJ174" s="6"/>
      <c r="AK174" s="6"/>
      <c r="AL174" s="6"/>
      <c r="AM174" s="6"/>
      <c r="AN174" s="6"/>
      <c r="AO174" s="6"/>
    </row>
    <row r="175" spans="1:41" ht="14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15"/>
      <c r="AC175" s="15"/>
      <c r="AD175" s="15"/>
      <c r="AE175" s="15"/>
      <c r="AF175" s="6"/>
      <c r="AG175" s="6"/>
      <c r="AH175" s="6"/>
      <c r="AI175" s="6"/>
      <c r="AJ175" s="6"/>
      <c r="AK175" s="6"/>
      <c r="AL175" s="6"/>
      <c r="AM175" s="6"/>
      <c r="AN175" s="6"/>
      <c r="AO175" s="6"/>
    </row>
    <row r="176" spans="1:41" ht="14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15"/>
      <c r="AC176" s="15"/>
      <c r="AD176" s="15"/>
      <c r="AE176" s="15"/>
      <c r="AF176" s="6"/>
      <c r="AG176" s="6"/>
      <c r="AH176" s="6"/>
      <c r="AI176" s="6"/>
      <c r="AJ176" s="6"/>
      <c r="AK176" s="6"/>
      <c r="AL176" s="6"/>
      <c r="AM176" s="6"/>
      <c r="AN176" s="6"/>
      <c r="AO176" s="6"/>
    </row>
    <row r="177" spans="1:41" ht="14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15"/>
      <c r="AC177" s="15"/>
      <c r="AD177" s="15"/>
      <c r="AE177" s="15"/>
      <c r="AF177" s="6"/>
      <c r="AG177" s="6"/>
      <c r="AH177" s="6"/>
      <c r="AI177" s="6"/>
      <c r="AJ177" s="6"/>
      <c r="AK177" s="6"/>
      <c r="AL177" s="6"/>
      <c r="AM177" s="6"/>
      <c r="AN177" s="6"/>
      <c r="AO177" s="6"/>
    </row>
    <row r="178" spans="1:41" ht="14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15"/>
      <c r="AC178" s="15"/>
      <c r="AD178" s="15"/>
      <c r="AE178" s="15"/>
      <c r="AF178" s="6"/>
      <c r="AG178" s="6"/>
      <c r="AH178" s="6"/>
      <c r="AI178" s="6"/>
      <c r="AJ178" s="6"/>
      <c r="AK178" s="6"/>
      <c r="AL178" s="6"/>
      <c r="AM178" s="6"/>
      <c r="AN178" s="6"/>
      <c r="AO178" s="6"/>
    </row>
    <row r="179" spans="1:41" ht="14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15"/>
      <c r="AC179" s="15"/>
      <c r="AD179" s="15"/>
      <c r="AE179" s="15"/>
      <c r="AF179" s="6"/>
      <c r="AG179" s="6"/>
      <c r="AH179" s="6"/>
      <c r="AI179" s="6"/>
      <c r="AJ179" s="6"/>
      <c r="AK179" s="6"/>
      <c r="AL179" s="6"/>
      <c r="AM179" s="6"/>
      <c r="AN179" s="6"/>
      <c r="AO179" s="6"/>
    </row>
    <row r="180" spans="1:41" ht="14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15"/>
      <c r="AC180" s="15"/>
      <c r="AD180" s="15"/>
      <c r="AE180" s="15"/>
      <c r="AF180" s="6"/>
      <c r="AG180" s="6"/>
      <c r="AH180" s="6"/>
      <c r="AI180" s="6"/>
      <c r="AJ180" s="6"/>
      <c r="AK180" s="6"/>
      <c r="AL180" s="6"/>
      <c r="AM180" s="6"/>
      <c r="AN180" s="6"/>
      <c r="AO180" s="6"/>
    </row>
    <row r="181" spans="1:41" ht="14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15"/>
      <c r="AC181" s="15"/>
      <c r="AD181" s="15"/>
      <c r="AE181" s="15"/>
      <c r="AF181" s="6"/>
      <c r="AG181" s="6"/>
      <c r="AH181" s="6"/>
      <c r="AI181" s="6"/>
      <c r="AJ181" s="6"/>
      <c r="AK181" s="6"/>
      <c r="AL181" s="6"/>
      <c r="AM181" s="6"/>
      <c r="AN181" s="6"/>
      <c r="AO181" s="6"/>
    </row>
    <row r="182" spans="1:41" ht="14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15"/>
      <c r="AC182" s="15"/>
      <c r="AD182" s="15"/>
      <c r="AE182" s="15"/>
      <c r="AF182" s="6"/>
      <c r="AG182" s="6"/>
      <c r="AH182" s="6"/>
      <c r="AI182" s="6"/>
      <c r="AJ182" s="6"/>
      <c r="AK182" s="6"/>
      <c r="AL182" s="6"/>
      <c r="AM182" s="6"/>
      <c r="AN182" s="6"/>
      <c r="AO182" s="6"/>
    </row>
    <row r="183" spans="1:41" ht="14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15"/>
      <c r="AC183" s="15"/>
      <c r="AD183" s="15"/>
      <c r="AE183" s="15"/>
      <c r="AF183" s="6"/>
      <c r="AG183" s="6"/>
      <c r="AH183" s="6"/>
      <c r="AI183" s="6"/>
      <c r="AJ183" s="6"/>
      <c r="AK183" s="6"/>
      <c r="AL183" s="6"/>
      <c r="AM183" s="6"/>
      <c r="AN183" s="6"/>
      <c r="AO183" s="6"/>
    </row>
    <row r="184" spans="1:41" ht="14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15"/>
      <c r="AC184" s="15"/>
      <c r="AD184" s="15"/>
      <c r="AE184" s="15"/>
      <c r="AF184" s="6"/>
      <c r="AG184" s="6"/>
      <c r="AH184" s="6"/>
      <c r="AI184" s="6"/>
      <c r="AJ184" s="6"/>
      <c r="AK184" s="6"/>
      <c r="AL184" s="6"/>
      <c r="AM184" s="6"/>
      <c r="AN184" s="6"/>
      <c r="AO184" s="6"/>
    </row>
    <row r="185" spans="1:41" ht="14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15"/>
      <c r="AC185" s="15"/>
      <c r="AD185" s="15"/>
      <c r="AE185" s="15"/>
      <c r="AF185" s="6"/>
      <c r="AG185" s="6"/>
      <c r="AH185" s="6"/>
      <c r="AI185" s="6"/>
      <c r="AJ185" s="6"/>
      <c r="AK185" s="6"/>
      <c r="AL185" s="6"/>
      <c r="AM185" s="6"/>
      <c r="AN185" s="6"/>
      <c r="AO185" s="6"/>
    </row>
    <row r="186" spans="1:41" ht="14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15"/>
      <c r="AC186" s="15"/>
      <c r="AD186" s="15"/>
      <c r="AE186" s="15"/>
      <c r="AF186" s="6"/>
      <c r="AG186" s="6"/>
      <c r="AH186" s="6"/>
      <c r="AI186" s="6"/>
      <c r="AJ186" s="6"/>
      <c r="AK186" s="6"/>
      <c r="AL186" s="6"/>
      <c r="AM186" s="6"/>
      <c r="AN186" s="6"/>
      <c r="AO186" s="6"/>
    </row>
    <row r="187" spans="1:41" ht="14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15"/>
      <c r="AC187" s="15"/>
      <c r="AD187" s="15"/>
      <c r="AE187" s="15"/>
      <c r="AF187" s="6"/>
      <c r="AG187" s="6"/>
      <c r="AH187" s="6"/>
      <c r="AI187" s="6"/>
      <c r="AJ187" s="6"/>
      <c r="AK187" s="6"/>
      <c r="AL187" s="6"/>
      <c r="AM187" s="6"/>
      <c r="AN187" s="6"/>
      <c r="AO187" s="6"/>
    </row>
    <row r="188" spans="1:41" ht="14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15"/>
      <c r="AC188" s="15"/>
      <c r="AD188" s="15"/>
      <c r="AE188" s="15"/>
      <c r="AF188" s="6"/>
      <c r="AG188" s="6"/>
      <c r="AH188" s="6"/>
      <c r="AI188" s="6"/>
      <c r="AJ188" s="6"/>
      <c r="AK188" s="6"/>
      <c r="AL188" s="6"/>
      <c r="AM188" s="6"/>
      <c r="AN188" s="6"/>
      <c r="AO188" s="6"/>
    </row>
    <row r="189" spans="1:41" ht="14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15"/>
      <c r="AC189" s="15"/>
      <c r="AD189" s="15"/>
      <c r="AE189" s="15"/>
      <c r="AF189" s="6"/>
      <c r="AG189" s="6"/>
      <c r="AH189" s="6"/>
      <c r="AI189" s="6"/>
      <c r="AJ189" s="6"/>
      <c r="AK189" s="6"/>
      <c r="AL189" s="6"/>
      <c r="AM189" s="6"/>
      <c r="AN189" s="6"/>
      <c r="AO189" s="6"/>
    </row>
    <row r="190" spans="1:41" ht="14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15"/>
      <c r="AC190" s="15"/>
      <c r="AD190" s="15"/>
      <c r="AE190" s="15"/>
      <c r="AF190" s="6"/>
      <c r="AG190" s="6"/>
      <c r="AH190" s="6"/>
      <c r="AI190" s="6"/>
      <c r="AJ190" s="6"/>
      <c r="AK190" s="6"/>
      <c r="AL190" s="6"/>
      <c r="AM190" s="6"/>
      <c r="AN190" s="6"/>
      <c r="AO190" s="6"/>
    </row>
    <row r="191" spans="1:41" ht="14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15"/>
      <c r="AC191" s="15"/>
      <c r="AD191" s="15"/>
      <c r="AE191" s="15"/>
      <c r="AF191" s="6"/>
      <c r="AG191" s="6"/>
      <c r="AH191" s="6"/>
      <c r="AI191" s="6"/>
      <c r="AJ191" s="6"/>
      <c r="AK191" s="6"/>
      <c r="AL191" s="6"/>
      <c r="AM191" s="6"/>
      <c r="AN191" s="6"/>
      <c r="AO191" s="6"/>
    </row>
    <row r="192" spans="1:41" ht="14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15"/>
      <c r="AC192" s="15"/>
      <c r="AD192" s="15"/>
      <c r="AE192" s="15"/>
      <c r="AF192" s="6"/>
      <c r="AG192" s="6"/>
      <c r="AH192" s="6"/>
      <c r="AI192" s="6"/>
      <c r="AJ192" s="6"/>
      <c r="AK192" s="6"/>
      <c r="AL192" s="6"/>
      <c r="AM192" s="6"/>
      <c r="AN192" s="6"/>
      <c r="AO192" s="6"/>
    </row>
    <row r="193" spans="1:41" ht="14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15"/>
      <c r="AC193" s="15"/>
      <c r="AD193" s="15"/>
      <c r="AE193" s="15"/>
      <c r="AF193" s="6"/>
      <c r="AG193" s="6"/>
      <c r="AH193" s="6"/>
      <c r="AI193" s="6"/>
      <c r="AJ193" s="6"/>
      <c r="AK193" s="6"/>
      <c r="AL193" s="6"/>
      <c r="AM193" s="6"/>
      <c r="AN193" s="6"/>
      <c r="AO193" s="6"/>
    </row>
    <row r="194" spans="1:41" ht="14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15"/>
      <c r="AC194" s="15"/>
      <c r="AD194" s="15"/>
      <c r="AE194" s="15"/>
      <c r="AF194" s="6"/>
      <c r="AG194" s="6"/>
      <c r="AH194" s="6"/>
      <c r="AI194" s="6"/>
      <c r="AJ194" s="6"/>
      <c r="AK194" s="6"/>
      <c r="AL194" s="6"/>
      <c r="AM194" s="6"/>
      <c r="AN194" s="6"/>
      <c r="AO194" s="6"/>
    </row>
    <row r="195" spans="1:41" ht="14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15"/>
      <c r="AC195" s="15"/>
      <c r="AD195" s="15"/>
      <c r="AE195" s="15"/>
      <c r="AF195" s="6"/>
      <c r="AG195" s="6"/>
      <c r="AH195" s="6"/>
      <c r="AI195" s="6"/>
      <c r="AJ195" s="6"/>
      <c r="AK195" s="6"/>
      <c r="AL195" s="6"/>
      <c r="AM195" s="6"/>
      <c r="AN195" s="6"/>
      <c r="AO195" s="6"/>
    </row>
    <row r="196" spans="1:41" ht="14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15"/>
      <c r="AC196" s="15"/>
      <c r="AD196" s="15"/>
      <c r="AE196" s="15"/>
      <c r="AF196" s="6"/>
      <c r="AG196" s="6"/>
      <c r="AH196" s="6"/>
      <c r="AI196" s="6"/>
      <c r="AJ196" s="6"/>
      <c r="AK196" s="6"/>
      <c r="AL196" s="6"/>
      <c r="AM196" s="6"/>
      <c r="AN196" s="6"/>
      <c r="AO196" s="6"/>
    </row>
    <row r="197" spans="1:41" ht="14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15"/>
      <c r="AC197" s="15"/>
      <c r="AD197" s="15"/>
      <c r="AE197" s="15"/>
      <c r="AF197" s="6"/>
      <c r="AG197" s="6"/>
      <c r="AH197" s="6"/>
      <c r="AI197" s="6"/>
      <c r="AJ197" s="6"/>
      <c r="AK197" s="6"/>
      <c r="AL197" s="6"/>
      <c r="AM197" s="6"/>
      <c r="AN197" s="6"/>
      <c r="AO197" s="6"/>
    </row>
    <row r="198" spans="1:41" ht="14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15"/>
      <c r="AC198" s="15"/>
      <c r="AD198" s="15"/>
      <c r="AE198" s="15"/>
      <c r="AF198" s="6"/>
      <c r="AG198" s="6"/>
      <c r="AH198" s="6"/>
      <c r="AI198" s="6"/>
      <c r="AJ198" s="6"/>
      <c r="AK198" s="6"/>
      <c r="AL198" s="6"/>
      <c r="AM198" s="6"/>
      <c r="AN198" s="6"/>
      <c r="AO198" s="6"/>
    </row>
    <row r="199" spans="1:41" ht="14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15"/>
      <c r="AC199" s="15"/>
      <c r="AD199" s="15"/>
      <c r="AE199" s="15"/>
      <c r="AF199" s="6"/>
      <c r="AG199" s="6"/>
      <c r="AH199" s="6"/>
      <c r="AI199" s="6"/>
      <c r="AJ199" s="6"/>
      <c r="AK199" s="6"/>
      <c r="AL199" s="6"/>
      <c r="AM199" s="6"/>
      <c r="AN199" s="6"/>
      <c r="AO199" s="6"/>
    </row>
    <row r="200" spans="1:41" ht="14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15"/>
      <c r="AC200" s="15"/>
      <c r="AD200" s="15"/>
      <c r="AE200" s="15"/>
      <c r="AF200" s="6"/>
      <c r="AG200" s="6"/>
      <c r="AH200" s="6"/>
      <c r="AI200" s="6"/>
      <c r="AJ200" s="6"/>
      <c r="AK200" s="6"/>
      <c r="AL200" s="6"/>
      <c r="AM200" s="6"/>
      <c r="AN200" s="6"/>
      <c r="AO200" s="6"/>
    </row>
    <row r="201" spans="1:41" ht="14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15"/>
      <c r="AC201" s="15"/>
      <c r="AD201" s="15"/>
      <c r="AE201" s="15"/>
      <c r="AF201" s="6"/>
      <c r="AG201" s="6"/>
      <c r="AH201" s="6"/>
      <c r="AI201" s="6"/>
      <c r="AJ201" s="6"/>
      <c r="AK201" s="6"/>
      <c r="AL201" s="6"/>
      <c r="AM201" s="6"/>
      <c r="AN201" s="6"/>
      <c r="AO201" s="6"/>
    </row>
    <row r="202" spans="1:41" ht="14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15"/>
      <c r="AC202" s="15"/>
      <c r="AD202" s="15"/>
      <c r="AE202" s="15"/>
      <c r="AF202" s="6"/>
      <c r="AG202" s="6"/>
      <c r="AH202" s="6"/>
      <c r="AI202" s="6"/>
      <c r="AJ202" s="6"/>
      <c r="AK202" s="6"/>
      <c r="AL202" s="6"/>
      <c r="AM202" s="6"/>
      <c r="AN202" s="6"/>
      <c r="AO202" s="6"/>
    </row>
    <row r="203" spans="1:41" ht="14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15"/>
      <c r="AC203" s="15"/>
      <c r="AD203" s="15"/>
      <c r="AE203" s="15"/>
      <c r="AF203" s="6"/>
      <c r="AG203" s="6"/>
      <c r="AH203" s="6"/>
      <c r="AI203" s="6"/>
      <c r="AJ203" s="6"/>
      <c r="AK203" s="6"/>
      <c r="AL203" s="6"/>
      <c r="AM203" s="6"/>
      <c r="AN203" s="6"/>
      <c r="AO203" s="6"/>
    </row>
    <row r="204" spans="1:41" ht="14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15"/>
      <c r="AC204" s="15"/>
      <c r="AD204" s="15"/>
      <c r="AE204" s="15"/>
      <c r="AF204" s="6"/>
      <c r="AG204" s="6"/>
      <c r="AH204" s="6"/>
      <c r="AI204" s="6"/>
      <c r="AJ204" s="6"/>
      <c r="AK204" s="6"/>
      <c r="AL204" s="6"/>
      <c r="AM204" s="6"/>
      <c r="AN204" s="6"/>
      <c r="AO204" s="6"/>
    </row>
    <row r="205" spans="1:41" ht="14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15"/>
      <c r="AC205" s="15"/>
      <c r="AD205" s="15"/>
      <c r="AE205" s="15"/>
      <c r="AF205" s="6"/>
      <c r="AG205" s="6"/>
      <c r="AH205" s="6"/>
      <c r="AI205" s="6"/>
      <c r="AJ205" s="6"/>
      <c r="AK205" s="6"/>
      <c r="AL205" s="6"/>
      <c r="AM205" s="6"/>
      <c r="AN205" s="6"/>
      <c r="AO205" s="6"/>
    </row>
    <row r="206" spans="1:41" ht="14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15"/>
      <c r="AC206" s="15"/>
      <c r="AD206" s="15"/>
      <c r="AE206" s="15"/>
      <c r="AF206" s="6"/>
      <c r="AG206" s="6"/>
      <c r="AH206" s="6"/>
      <c r="AI206" s="6"/>
      <c r="AJ206" s="6"/>
      <c r="AK206" s="6"/>
      <c r="AL206" s="6"/>
      <c r="AM206" s="6"/>
      <c r="AN206" s="6"/>
      <c r="AO206" s="6"/>
    </row>
    <row r="207" spans="1:41" ht="14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15"/>
      <c r="AC207" s="15"/>
      <c r="AD207" s="15"/>
      <c r="AE207" s="15"/>
      <c r="AF207" s="6"/>
      <c r="AG207" s="6"/>
      <c r="AH207" s="6"/>
      <c r="AI207" s="6"/>
      <c r="AJ207" s="6"/>
      <c r="AK207" s="6"/>
      <c r="AL207" s="6"/>
      <c r="AM207" s="6"/>
      <c r="AN207" s="6"/>
      <c r="AO207" s="6"/>
    </row>
    <row r="208" spans="1:41" ht="14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15"/>
      <c r="AC208" s="15"/>
      <c r="AD208" s="15"/>
      <c r="AE208" s="15"/>
      <c r="AF208" s="6"/>
      <c r="AG208" s="6"/>
      <c r="AH208" s="6"/>
      <c r="AI208" s="6"/>
      <c r="AJ208" s="6"/>
      <c r="AK208" s="6"/>
      <c r="AL208" s="6"/>
      <c r="AM208" s="6"/>
      <c r="AN208" s="6"/>
      <c r="AO208" s="6"/>
    </row>
    <row r="209" spans="1:41" ht="14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15"/>
      <c r="AC209" s="15"/>
      <c r="AD209" s="15"/>
      <c r="AE209" s="15"/>
      <c r="AF209" s="6"/>
      <c r="AG209" s="6"/>
      <c r="AH209" s="6"/>
      <c r="AI209" s="6"/>
      <c r="AJ209" s="6"/>
      <c r="AK209" s="6"/>
      <c r="AL209" s="6"/>
      <c r="AM209" s="6"/>
      <c r="AN209" s="6"/>
      <c r="AO209" s="6"/>
    </row>
    <row r="210" spans="1:41" ht="14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15"/>
      <c r="AC210" s="15"/>
      <c r="AD210" s="15"/>
      <c r="AE210" s="15"/>
      <c r="AF210" s="6"/>
      <c r="AG210" s="6"/>
      <c r="AH210" s="6"/>
      <c r="AI210" s="6"/>
      <c r="AJ210" s="6"/>
      <c r="AK210" s="6"/>
      <c r="AL210" s="6"/>
      <c r="AM210" s="6"/>
      <c r="AN210" s="6"/>
      <c r="AO210" s="6"/>
    </row>
    <row r="211" spans="1:41" ht="14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15"/>
      <c r="AC211" s="15"/>
      <c r="AD211" s="15"/>
      <c r="AE211" s="15"/>
      <c r="AF211" s="6"/>
      <c r="AG211" s="6"/>
      <c r="AH211" s="6"/>
      <c r="AI211" s="6"/>
      <c r="AJ211" s="6"/>
      <c r="AK211" s="6"/>
      <c r="AL211" s="6"/>
      <c r="AM211" s="6"/>
      <c r="AN211" s="6"/>
      <c r="AO211" s="6"/>
    </row>
    <row r="212" spans="1:41" ht="14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15"/>
      <c r="AC212" s="15"/>
      <c r="AD212" s="15"/>
      <c r="AE212" s="15"/>
      <c r="AF212" s="6"/>
      <c r="AG212" s="6"/>
      <c r="AH212" s="6"/>
      <c r="AI212" s="6"/>
      <c r="AJ212" s="6"/>
      <c r="AK212" s="6"/>
      <c r="AL212" s="6"/>
      <c r="AM212" s="6"/>
      <c r="AN212" s="6"/>
      <c r="AO212" s="6"/>
    </row>
    <row r="213" spans="1:41" ht="14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15"/>
      <c r="AC213" s="15"/>
      <c r="AD213" s="15"/>
      <c r="AE213" s="15"/>
      <c r="AF213" s="6"/>
      <c r="AG213" s="6"/>
      <c r="AH213" s="6"/>
      <c r="AI213" s="6"/>
      <c r="AJ213" s="6"/>
      <c r="AK213" s="6"/>
      <c r="AL213" s="6"/>
      <c r="AM213" s="6"/>
      <c r="AN213" s="6"/>
      <c r="AO213" s="6"/>
    </row>
    <row r="214" spans="1:41" ht="14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15"/>
      <c r="AC214" s="15"/>
      <c r="AD214" s="15"/>
      <c r="AE214" s="15"/>
      <c r="AF214" s="6"/>
      <c r="AG214" s="6"/>
      <c r="AH214" s="6"/>
      <c r="AI214" s="6"/>
      <c r="AJ214" s="6"/>
      <c r="AK214" s="6"/>
      <c r="AL214" s="6"/>
      <c r="AM214" s="6"/>
      <c r="AN214" s="6"/>
      <c r="AO214" s="6"/>
    </row>
    <row r="215" spans="1:41" ht="14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15"/>
      <c r="AC215" s="15"/>
      <c r="AD215" s="15"/>
      <c r="AE215" s="15"/>
      <c r="AF215" s="6"/>
      <c r="AG215" s="6"/>
      <c r="AH215" s="6"/>
      <c r="AI215" s="6"/>
      <c r="AJ215" s="6"/>
      <c r="AK215" s="6"/>
      <c r="AL215" s="6"/>
      <c r="AM215" s="6"/>
      <c r="AN215" s="6"/>
      <c r="AO215" s="6"/>
    </row>
    <row r="216" spans="1:41" ht="14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15"/>
      <c r="AC216" s="15"/>
      <c r="AD216" s="15"/>
      <c r="AE216" s="15"/>
      <c r="AF216" s="6"/>
      <c r="AG216" s="6"/>
      <c r="AH216" s="6"/>
      <c r="AI216" s="6"/>
      <c r="AJ216" s="6"/>
      <c r="AK216" s="6"/>
      <c r="AL216" s="6"/>
      <c r="AM216" s="6"/>
      <c r="AN216" s="6"/>
      <c r="AO216" s="6"/>
    </row>
    <row r="217" spans="1:41" ht="14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15"/>
      <c r="AC217" s="15"/>
      <c r="AD217" s="15"/>
      <c r="AE217" s="15"/>
      <c r="AF217" s="6"/>
      <c r="AG217" s="6"/>
      <c r="AH217" s="6"/>
      <c r="AI217" s="6"/>
      <c r="AJ217" s="6"/>
      <c r="AK217" s="6"/>
      <c r="AL217" s="6"/>
      <c r="AM217" s="6"/>
      <c r="AN217" s="6"/>
      <c r="AO217" s="6"/>
    </row>
    <row r="218" spans="1:41" ht="14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15"/>
      <c r="AC218" s="15"/>
      <c r="AD218" s="15"/>
      <c r="AE218" s="15"/>
      <c r="AF218" s="6"/>
      <c r="AG218" s="6"/>
      <c r="AH218" s="6"/>
      <c r="AI218" s="6"/>
      <c r="AJ218" s="6"/>
      <c r="AK218" s="6"/>
      <c r="AL218" s="6"/>
      <c r="AM218" s="6"/>
      <c r="AN218" s="6"/>
      <c r="AO218" s="6"/>
    </row>
    <row r="219" spans="1:41" ht="14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15"/>
      <c r="AC219" s="15"/>
      <c r="AD219" s="15"/>
      <c r="AE219" s="15"/>
      <c r="AF219" s="6"/>
      <c r="AG219" s="6"/>
      <c r="AH219" s="6"/>
      <c r="AI219" s="6"/>
      <c r="AJ219" s="6"/>
      <c r="AK219" s="6"/>
      <c r="AL219" s="6"/>
      <c r="AM219" s="6"/>
      <c r="AN219" s="6"/>
      <c r="AO219" s="6"/>
    </row>
    <row r="220" spans="1:41" ht="14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15"/>
      <c r="AC220" s="15"/>
      <c r="AD220" s="15"/>
      <c r="AE220" s="15"/>
      <c r="AF220" s="6"/>
      <c r="AG220" s="6"/>
      <c r="AH220" s="6"/>
      <c r="AI220" s="6"/>
      <c r="AJ220" s="6"/>
      <c r="AK220" s="6"/>
      <c r="AL220" s="6"/>
      <c r="AM220" s="6"/>
      <c r="AN220" s="6"/>
      <c r="AO220" s="6"/>
    </row>
    <row r="221" spans="1:41" ht="14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15"/>
      <c r="AC221" s="15"/>
      <c r="AD221" s="15"/>
      <c r="AE221" s="15"/>
      <c r="AF221" s="6"/>
      <c r="AG221" s="6"/>
      <c r="AH221" s="6"/>
      <c r="AI221" s="6"/>
      <c r="AJ221" s="6"/>
      <c r="AK221" s="6"/>
      <c r="AL221" s="6"/>
      <c r="AM221" s="6"/>
      <c r="AN221" s="6"/>
      <c r="AO221" s="6"/>
    </row>
    <row r="222" spans="1:41" ht="14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15"/>
      <c r="AC222" s="15"/>
      <c r="AD222" s="15"/>
      <c r="AE222" s="15"/>
      <c r="AF222" s="6"/>
      <c r="AG222" s="6"/>
      <c r="AH222" s="6"/>
      <c r="AI222" s="6"/>
      <c r="AJ222" s="6"/>
      <c r="AK222" s="6"/>
      <c r="AL222" s="6"/>
      <c r="AM222" s="6"/>
      <c r="AN222" s="6"/>
      <c r="AO222" s="6"/>
    </row>
    <row r="223" spans="1:41" ht="14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15"/>
      <c r="AC223" s="15"/>
      <c r="AD223" s="15"/>
      <c r="AE223" s="15"/>
      <c r="AF223" s="6"/>
      <c r="AG223" s="6"/>
      <c r="AH223" s="6"/>
      <c r="AI223" s="6"/>
      <c r="AJ223" s="6"/>
      <c r="AK223" s="6"/>
      <c r="AL223" s="6"/>
      <c r="AM223" s="6"/>
      <c r="AN223" s="6"/>
      <c r="AO223" s="6"/>
    </row>
    <row r="224" spans="1:41" ht="14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15"/>
      <c r="AC224" s="15"/>
      <c r="AD224" s="15"/>
      <c r="AE224" s="15"/>
      <c r="AF224" s="6"/>
      <c r="AG224" s="6"/>
      <c r="AH224" s="6"/>
      <c r="AI224" s="6"/>
      <c r="AJ224" s="6"/>
      <c r="AK224" s="6"/>
      <c r="AL224" s="6"/>
      <c r="AM224" s="6"/>
      <c r="AN224" s="6"/>
      <c r="AO224" s="6"/>
    </row>
    <row r="225" spans="1:41" ht="14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15"/>
      <c r="AC225" s="15"/>
      <c r="AD225" s="15"/>
      <c r="AE225" s="15"/>
      <c r="AF225" s="6"/>
      <c r="AG225" s="6"/>
      <c r="AH225" s="6"/>
      <c r="AI225" s="6"/>
      <c r="AJ225" s="6"/>
      <c r="AK225" s="6"/>
      <c r="AL225" s="6"/>
      <c r="AM225" s="6"/>
      <c r="AN225" s="6"/>
      <c r="AO225" s="6"/>
    </row>
    <row r="226" spans="1:41" ht="14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15"/>
      <c r="AC226" s="15"/>
      <c r="AD226" s="15"/>
      <c r="AE226" s="15"/>
      <c r="AF226" s="6"/>
      <c r="AG226" s="6"/>
      <c r="AH226" s="6"/>
      <c r="AI226" s="6"/>
      <c r="AJ226" s="6"/>
      <c r="AK226" s="6"/>
      <c r="AL226" s="6"/>
      <c r="AM226" s="6"/>
      <c r="AN226" s="6"/>
      <c r="AO226" s="6"/>
    </row>
    <row r="227" spans="1:41" ht="14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15"/>
      <c r="AC227" s="15"/>
      <c r="AD227" s="15"/>
      <c r="AE227" s="15"/>
      <c r="AF227" s="6"/>
      <c r="AG227" s="6"/>
      <c r="AH227" s="6"/>
      <c r="AI227" s="6"/>
      <c r="AJ227" s="6"/>
      <c r="AK227" s="6"/>
      <c r="AL227" s="6"/>
      <c r="AM227" s="6"/>
      <c r="AN227" s="6"/>
      <c r="AO227" s="6"/>
    </row>
    <row r="228" spans="1:41" ht="14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15"/>
      <c r="AC228" s="15"/>
      <c r="AD228" s="15"/>
      <c r="AE228" s="15"/>
      <c r="AF228" s="6"/>
      <c r="AG228" s="6"/>
      <c r="AH228" s="6"/>
      <c r="AI228" s="6"/>
      <c r="AJ228" s="6"/>
      <c r="AK228" s="6"/>
      <c r="AL228" s="6"/>
      <c r="AM228" s="6"/>
      <c r="AN228" s="6"/>
      <c r="AO228" s="6"/>
    </row>
    <row r="229" spans="1:41" ht="14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15"/>
      <c r="AC229" s="15"/>
      <c r="AD229" s="15"/>
      <c r="AE229" s="15"/>
      <c r="AF229" s="6"/>
      <c r="AG229" s="6"/>
      <c r="AH229" s="6"/>
      <c r="AI229" s="6"/>
      <c r="AJ229" s="6"/>
      <c r="AK229" s="6"/>
      <c r="AL229" s="6"/>
      <c r="AM229" s="6"/>
      <c r="AN229" s="6"/>
      <c r="AO229" s="6"/>
    </row>
    <row r="230" spans="1:41" ht="14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15"/>
      <c r="AC230" s="15"/>
      <c r="AD230" s="15"/>
      <c r="AE230" s="15"/>
      <c r="AF230" s="6"/>
      <c r="AG230" s="6"/>
      <c r="AH230" s="6"/>
      <c r="AI230" s="6"/>
      <c r="AJ230" s="6"/>
      <c r="AK230" s="6"/>
      <c r="AL230" s="6"/>
      <c r="AM230" s="6"/>
      <c r="AN230" s="6"/>
      <c r="AO230" s="6"/>
    </row>
    <row r="231" spans="1:41" ht="14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15"/>
      <c r="AC231" s="15"/>
      <c r="AD231" s="15"/>
      <c r="AE231" s="15"/>
      <c r="AF231" s="6"/>
      <c r="AG231" s="6"/>
      <c r="AH231" s="6"/>
      <c r="AI231" s="6"/>
      <c r="AJ231" s="6"/>
      <c r="AK231" s="6"/>
      <c r="AL231" s="6"/>
      <c r="AM231" s="6"/>
      <c r="AN231" s="6"/>
      <c r="AO231" s="6"/>
    </row>
    <row r="232" spans="1:41" ht="14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15"/>
      <c r="AC232" s="15"/>
      <c r="AD232" s="15"/>
      <c r="AE232" s="15"/>
      <c r="AF232" s="6"/>
      <c r="AG232" s="6"/>
      <c r="AH232" s="6"/>
      <c r="AI232" s="6"/>
      <c r="AJ232" s="6"/>
      <c r="AK232" s="6"/>
      <c r="AL232" s="6"/>
      <c r="AM232" s="6"/>
      <c r="AN232" s="6"/>
      <c r="AO232" s="6"/>
    </row>
    <row r="233" spans="1:41" ht="14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15"/>
      <c r="AC233" s="15"/>
      <c r="AD233" s="15"/>
      <c r="AE233" s="15"/>
      <c r="AF233" s="6"/>
      <c r="AG233" s="6"/>
      <c r="AH233" s="6"/>
      <c r="AI233" s="6"/>
      <c r="AJ233" s="6"/>
      <c r="AK233" s="6"/>
      <c r="AL233" s="6"/>
      <c r="AM233" s="6"/>
      <c r="AN233" s="6"/>
      <c r="AO233" s="6"/>
    </row>
    <row r="234" spans="1:41" ht="14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15"/>
      <c r="AC234" s="15"/>
      <c r="AD234" s="15"/>
      <c r="AE234" s="15"/>
      <c r="AF234" s="6"/>
      <c r="AG234" s="6"/>
      <c r="AH234" s="6"/>
      <c r="AI234" s="6"/>
      <c r="AJ234" s="6"/>
      <c r="AK234" s="6"/>
      <c r="AL234" s="6"/>
      <c r="AM234" s="6"/>
      <c r="AN234" s="6"/>
      <c r="AO234" s="6"/>
    </row>
    <row r="235" spans="1:41" ht="14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15"/>
      <c r="AC235" s="15"/>
      <c r="AD235" s="15"/>
      <c r="AE235" s="15"/>
      <c r="AF235" s="6"/>
      <c r="AG235" s="6"/>
      <c r="AH235" s="6"/>
      <c r="AI235" s="6"/>
      <c r="AJ235" s="6"/>
      <c r="AK235" s="6"/>
      <c r="AL235" s="6"/>
      <c r="AM235" s="6"/>
      <c r="AN235" s="6"/>
      <c r="AO235" s="6"/>
    </row>
    <row r="236" spans="1:41" ht="14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15"/>
      <c r="AC236" s="15"/>
      <c r="AD236" s="15"/>
      <c r="AE236" s="15"/>
      <c r="AF236" s="6"/>
      <c r="AG236" s="6"/>
      <c r="AH236" s="6"/>
      <c r="AI236" s="6"/>
      <c r="AJ236" s="6"/>
      <c r="AK236" s="6"/>
      <c r="AL236" s="6"/>
      <c r="AM236" s="6"/>
      <c r="AN236" s="6"/>
      <c r="AO236" s="6"/>
    </row>
    <row r="237" spans="1:41" ht="14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15"/>
      <c r="AC237" s="15"/>
      <c r="AD237" s="15"/>
      <c r="AE237" s="15"/>
      <c r="AF237" s="6"/>
      <c r="AG237" s="6"/>
      <c r="AH237" s="6"/>
      <c r="AI237" s="6"/>
      <c r="AJ237" s="6"/>
      <c r="AK237" s="6"/>
      <c r="AL237" s="6"/>
      <c r="AM237" s="6"/>
      <c r="AN237" s="6"/>
      <c r="AO237" s="6"/>
    </row>
    <row r="238" spans="1:41" ht="14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15"/>
      <c r="AC238" s="15"/>
      <c r="AD238" s="15"/>
      <c r="AE238" s="15"/>
      <c r="AF238" s="6"/>
      <c r="AG238" s="6"/>
      <c r="AH238" s="6"/>
      <c r="AI238" s="6"/>
      <c r="AJ238" s="6"/>
      <c r="AK238" s="6"/>
      <c r="AL238" s="6"/>
      <c r="AM238" s="6"/>
      <c r="AN238" s="6"/>
      <c r="AO238" s="6"/>
    </row>
    <row r="239" spans="1:41" ht="14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15"/>
      <c r="AC239" s="15"/>
      <c r="AD239" s="15"/>
      <c r="AE239" s="15"/>
      <c r="AF239" s="6"/>
      <c r="AG239" s="6"/>
      <c r="AH239" s="6"/>
      <c r="AI239" s="6"/>
      <c r="AJ239" s="6"/>
      <c r="AK239" s="6"/>
      <c r="AL239" s="6"/>
      <c r="AM239" s="6"/>
      <c r="AN239" s="6"/>
      <c r="AO239" s="6"/>
    </row>
    <row r="240" spans="1:41" ht="14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15"/>
      <c r="AC240" s="15"/>
      <c r="AD240" s="15"/>
      <c r="AE240" s="15"/>
      <c r="AF240" s="6"/>
      <c r="AG240" s="6"/>
      <c r="AH240" s="6"/>
      <c r="AI240" s="6"/>
      <c r="AJ240" s="6"/>
      <c r="AK240" s="6"/>
      <c r="AL240" s="6"/>
      <c r="AM240" s="6"/>
      <c r="AN240" s="6"/>
      <c r="AO240" s="6"/>
    </row>
    <row r="241" spans="1:41" ht="14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15"/>
      <c r="AC241" s="15"/>
      <c r="AD241" s="15"/>
      <c r="AE241" s="15"/>
      <c r="AF241" s="6"/>
      <c r="AG241" s="6"/>
      <c r="AH241" s="6"/>
      <c r="AI241" s="6"/>
      <c r="AJ241" s="6"/>
      <c r="AK241" s="6"/>
      <c r="AL241" s="6"/>
      <c r="AM241" s="6"/>
      <c r="AN241" s="6"/>
      <c r="AO241" s="6"/>
    </row>
    <row r="242" spans="1:41" ht="14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15"/>
      <c r="AC242" s="15"/>
      <c r="AD242" s="15"/>
      <c r="AE242" s="15"/>
      <c r="AF242" s="6"/>
      <c r="AG242" s="6"/>
      <c r="AH242" s="6"/>
      <c r="AI242" s="6"/>
      <c r="AJ242" s="6"/>
      <c r="AK242" s="6"/>
      <c r="AL242" s="6"/>
      <c r="AM242" s="6"/>
      <c r="AN242" s="6"/>
      <c r="AO242" s="6"/>
    </row>
    <row r="243" spans="1:41" ht="14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15"/>
      <c r="AC243" s="15"/>
      <c r="AD243" s="15"/>
      <c r="AE243" s="15"/>
      <c r="AF243" s="6"/>
      <c r="AG243" s="6"/>
      <c r="AH243" s="6"/>
      <c r="AI243" s="6"/>
      <c r="AJ243" s="6"/>
      <c r="AK243" s="6"/>
      <c r="AL243" s="6"/>
      <c r="AM243" s="6"/>
      <c r="AN243" s="6"/>
      <c r="AO243" s="6"/>
    </row>
    <row r="244" spans="1:41" ht="14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15"/>
      <c r="AC244" s="15"/>
      <c r="AD244" s="15"/>
      <c r="AE244" s="15"/>
      <c r="AF244" s="6"/>
      <c r="AG244" s="6"/>
      <c r="AH244" s="6"/>
      <c r="AI244" s="6"/>
      <c r="AJ244" s="6"/>
      <c r="AK244" s="6"/>
      <c r="AL244" s="6"/>
      <c r="AM244" s="6"/>
      <c r="AN244" s="6"/>
      <c r="AO244" s="6"/>
    </row>
    <row r="245" spans="1:41" ht="14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15"/>
      <c r="AC245" s="15"/>
      <c r="AD245" s="15"/>
      <c r="AE245" s="15"/>
      <c r="AF245" s="6"/>
      <c r="AG245" s="6"/>
      <c r="AH245" s="6"/>
      <c r="AI245" s="6"/>
      <c r="AJ245" s="6"/>
      <c r="AK245" s="6"/>
      <c r="AL245" s="6"/>
      <c r="AM245" s="6"/>
      <c r="AN245" s="6"/>
      <c r="AO245" s="6"/>
    </row>
    <row r="246" spans="1:41" ht="14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15"/>
      <c r="AC246" s="15"/>
      <c r="AD246" s="15"/>
      <c r="AE246" s="15"/>
      <c r="AF246" s="6"/>
      <c r="AG246" s="6"/>
      <c r="AH246" s="6"/>
      <c r="AI246" s="6"/>
      <c r="AJ246" s="6"/>
      <c r="AK246" s="6"/>
      <c r="AL246" s="6"/>
      <c r="AM246" s="6"/>
      <c r="AN246" s="6"/>
      <c r="AO246" s="6"/>
    </row>
    <row r="247" spans="1:41" ht="14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15"/>
      <c r="AC247" s="15"/>
      <c r="AD247" s="15"/>
      <c r="AE247" s="15"/>
      <c r="AF247" s="6"/>
      <c r="AG247" s="6"/>
      <c r="AH247" s="6"/>
      <c r="AI247" s="6"/>
      <c r="AJ247" s="6"/>
      <c r="AK247" s="6"/>
      <c r="AL247" s="6"/>
      <c r="AM247" s="6"/>
      <c r="AN247" s="6"/>
      <c r="AO247" s="6"/>
    </row>
    <row r="248" spans="1:41" ht="14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15"/>
      <c r="AC248" s="15"/>
      <c r="AD248" s="15"/>
      <c r="AE248" s="15"/>
      <c r="AF248" s="6"/>
      <c r="AG248" s="6"/>
      <c r="AH248" s="6"/>
      <c r="AI248" s="6"/>
      <c r="AJ248" s="6"/>
      <c r="AK248" s="6"/>
      <c r="AL248" s="6"/>
      <c r="AM248" s="6"/>
      <c r="AN248" s="6"/>
      <c r="AO248" s="6"/>
    </row>
    <row r="249" spans="1:41" ht="14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15"/>
      <c r="AC249" s="15"/>
      <c r="AD249" s="15"/>
      <c r="AE249" s="15"/>
      <c r="AF249" s="6"/>
      <c r="AG249" s="6"/>
      <c r="AH249" s="6"/>
      <c r="AI249" s="6"/>
      <c r="AJ249" s="6"/>
      <c r="AK249" s="6"/>
      <c r="AL249" s="6"/>
      <c r="AM249" s="6"/>
      <c r="AN249" s="6"/>
      <c r="AO249" s="6"/>
    </row>
    <row r="250" spans="1:41" ht="14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15"/>
      <c r="AC250" s="15"/>
      <c r="AD250" s="15"/>
      <c r="AE250" s="15"/>
      <c r="AF250" s="6"/>
      <c r="AG250" s="6"/>
      <c r="AH250" s="6"/>
      <c r="AI250" s="6"/>
      <c r="AJ250" s="6"/>
      <c r="AK250" s="6"/>
      <c r="AL250" s="6"/>
      <c r="AM250" s="6"/>
      <c r="AN250" s="6"/>
      <c r="AO250" s="6"/>
    </row>
    <row r="251" spans="1:41" ht="14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15"/>
      <c r="AC251" s="15"/>
      <c r="AD251" s="15"/>
      <c r="AE251" s="15"/>
      <c r="AF251" s="6"/>
      <c r="AG251" s="6"/>
      <c r="AH251" s="6"/>
      <c r="AI251" s="6"/>
      <c r="AJ251" s="6"/>
      <c r="AK251" s="6"/>
      <c r="AL251" s="6"/>
      <c r="AM251" s="6"/>
      <c r="AN251" s="6"/>
      <c r="AO251" s="6"/>
    </row>
    <row r="252" spans="1:41" ht="14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15"/>
      <c r="AC252" s="15"/>
      <c r="AD252" s="15"/>
      <c r="AE252" s="15"/>
      <c r="AF252" s="6"/>
      <c r="AG252" s="6"/>
      <c r="AH252" s="6"/>
      <c r="AI252" s="6"/>
      <c r="AJ252" s="6"/>
      <c r="AK252" s="6"/>
      <c r="AL252" s="6"/>
      <c r="AM252" s="6"/>
      <c r="AN252" s="6"/>
      <c r="AO252" s="6"/>
    </row>
    <row r="253" spans="1:41" ht="14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15"/>
      <c r="AC253" s="15"/>
      <c r="AD253" s="15"/>
      <c r="AE253" s="15"/>
      <c r="AF253" s="6"/>
      <c r="AG253" s="6"/>
      <c r="AH253" s="6"/>
      <c r="AI253" s="6"/>
      <c r="AJ253" s="6"/>
      <c r="AK253" s="6"/>
      <c r="AL253" s="6"/>
      <c r="AM253" s="6"/>
      <c r="AN253" s="6"/>
      <c r="AO253" s="6"/>
    </row>
    <row r="254" spans="1:41" ht="14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15"/>
      <c r="AC254" s="15"/>
      <c r="AD254" s="15"/>
      <c r="AE254" s="15"/>
      <c r="AF254" s="6"/>
      <c r="AG254" s="6"/>
      <c r="AH254" s="6"/>
      <c r="AI254" s="6"/>
      <c r="AJ254" s="6"/>
      <c r="AK254" s="6"/>
      <c r="AL254" s="6"/>
      <c r="AM254" s="6"/>
      <c r="AN254" s="6"/>
      <c r="AO254" s="6"/>
    </row>
    <row r="255" spans="1:41" ht="14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15"/>
      <c r="AC255" s="15"/>
      <c r="AD255" s="15"/>
      <c r="AE255" s="15"/>
      <c r="AF255" s="6"/>
      <c r="AG255" s="6"/>
      <c r="AH255" s="6"/>
      <c r="AI255" s="6"/>
      <c r="AJ255" s="6"/>
      <c r="AK255" s="6"/>
      <c r="AL255" s="6"/>
      <c r="AM255" s="6"/>
      <c r="AN255" s="6"/>
      <c r="AO255" s="6"/>
    </row>
    <row r="256" spans="1:41" ht="14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15"/>
      <c r="AC256" s="15"/>
      <c r="AD256" s="15"/>
      <c r="AE256" s="15"/>
      <c r="AF256" s="6"/>
      <c r="AG256" s="6"/>
      <c r="AH256" s="6"/>
      <c r="AI256" s="6"/>
      <c r="AJ256" s="6"/>
      <c r="AK256" s="6"/>
      <c r="AL256" s="6"/>
      <c r="AM256" s="6"/>
      <c r="AN256" s="6"/>
      <c r="AO256" s="6"/>
    </row>
    <row r="257" spans="1:41" ht="14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15"/>
      <c r="AC257" s="15"/>
      <c r="AD257" s="15"/>
      <c r="AE257" s="15"/>
      <c r="AF257" s="6"/>
      <c r="AG257" s="6"/>
      <c r="AH257" s="6"/>
      <c r="AI257" s="6"/>
      <c r="AJ257" s="6"/>
      <c r="AK257" s="6"/>
      <c r="AL257" s="6"/>
      <c r="AM257" s="6"/>
      <c r="AN257" s="6"/>
      <c r="AO257" s="6"/>
    </row>
    <row r="258" spans="1:41" ht="14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15"/>
      <c r="AC258" s="15"/>
      <c r="AD258" s="15"/>
      <c r="AE258" s="15"/>
      <c r="AF258" s="6"/>
      <c r="AG258" s="6"/>
      <c r="AH258" s="6"/>
      <c r="AI258" s="6"/>
      <c r="AJ258" s="6"/>
      <c r="AK258" s="6"/>
      <c r="AL258" s="6"/>
      <c r="AM258" s="6"/>
      <c r="AN258" s="6"/>
      <c r="AO258" s="6"/>
    </row>
    <row r="259" spans="1:41" ht="14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15"/>
      <c r="AC259" s="15"/>
      <c r="AD259" s="15"/>
      <c r="AE259" s="15"/>
      <c r="AF259" s="6"/>
      <c r="AG259" s="6"/>
      <c r="AH259" s="6"/>
      <c r="AI259" s="6"/>
      <c r="AJ259" s="6"/>
      <c r="AK259" s="6"/>
      <c r="AL259" s="6"/>
      <c r="AM259" s="6"/>
      <c r="AN259" s="6"/>
      <c r="AO259" s="6"/>
    </row>
    <row r="260" spans="1:41" ht="14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15"/>
      <c r="AC260" s="15"/>
      <c r="AD260" s="15"/>
      <c r="AE260" s="15"/>
      <c r="AF260" s="6"/>
      <c r="AG260" s="6"/>
      <c r="AH260" s="6"/>
      <c r="AI260" s="6"/>
      <c r="AJ260" s="6"/>
      <c r="AK260" s="6"/>
      <c r="AL260" s="6"/>
      <c r="AM260" s="6"/>
      <c r="AN260" s="6"/>
      <c r="AO260" s="6"/>
    </row>
    <row r="261" spans="1:41" ht="14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15"/>
      <c r="AC261" s="15"/>
      <c r="AD261" s="15"/>
      <c r="AE261" s="15"/>
      <c r="AF261" s="6"/>
      <c r="AG261" s="6"/>
      <c r="AH261" s="6"/>
      <c r="AI261" s="6"/>
      <c r="AJ261" s="6"/>
      <c r="AK261" s="6"/>
      <c r="AL261" s="6"/>
      <c r="AM261" s="6"/>
      <c r="AN261" s="6"/>
      <c r="AO261" s="6"/>
    </row>
    <row r="262" spans="1:41" ht="14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15"/>
      <c r="AC262" s="15"/>
      <c r="AD262" s="15"/>
      <c r="AE262" s="15"/>
      <c r="AF262" s="6"/>
      <c r="AG262" s="6"/>
      <c r="AH262" s="6"/>
      <c r="AI262" s="6"/>
      <c r="AJ262" s="6"/>
      <c r="AK262" s="6"/>
      <c r="AL262" s="6"/>
      <c r="AM262" s="6"/>
      <c r="AN262" s="6"/>
      <c r="AO262" s="6"/>
    </row>
    <row r="263" spans="1:41" ht="14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15"/>
      <c r="AC263" s="15"/>
      <c r="AD263" s="15"/>
      <c r="AE263" s="15"/>
      <c r="AF263" s="6"/>
      <c r="AG263" s="6"/>
      <c r="AH263" s="6"/>
      <c r="AI263" s="6"/>
      <c r="AJ263" s="6"/>
      <c r="AK263" s="6"/>
      <c r="AL263" s="6"/>
      <c r="AM263" s="6"/>
      <c r="AN263" s="6"/>
      <c r="AO263" s="6"/>
    </row>
    <row r="264" spans="1:41" ht="14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15"/>
      <c r="AC264" s="15"/>
      <c r="AD264" s="15"/>
      <c r="AE264" s="15"/>
      <c r="AF264" s="6"/>
      <c r="AG264" s="6"/>
      <c r="AH264" s="6"/>
      <c r="AI264" s="6"/>
      <c r="AJ264" s="6"/>
      <c r="AK264" s="6"/>
      <c r="AL264" s="6"/>
      <c r="AM264" s="6"/>
      <c r="AN264" s="6"/>
      <c r="AO264" s="6"/>
    </row>
    <row r="265" spans="1:41" ht="14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15"/>
      <c r="AC265" s="15"/>
      <c r="AD265" s="15"/>
      <c r="AE265" s="15"/>
      <c r="AF265" s="6"/>
      <c r="AG265" s="6"/>
      <c r="AH265" s="6"/>
      <c r="AI265" s="6"/>
      <c r="AJ265" s="6"/>
      <c r="AK265" s="6"/>
      <c r="AL265" s="6"/>
      <c r="AM265" s="6"/>
      <c r="AN265" s="6"/>
      <c r="AO265" s="6"/>
    </row>
    <row r="266" spans="1:41" ht="14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15"/>
      <c r="AC266" s="15"/>
      <c r="AD266" s="15"/>
      <c r="AE266" s="15"/>
      <c r="AF266" s="6"/>
      <c r="AG266" s="6"/>
      <c r="AH266" s="6"/>
      <c r="AI266" s="6"/>
      <c r="AJ266" s="6"/>
      <c r="AK266" s="6"/>
      <c r="AL266" s="6"/>
      <c r="AM266" s="6"/>
      <c r="AN266" s="6"/>
      <c r="AO266" s="6"/>
    </row>
    <row r="267" spans="1:41" ht="14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15"/>
      <c r="AC267" s="15"/>
      <c r="AD267" s="15"/>
      <c r="AE267" s="15"/>
      <c r="AF267" s="6"/>
      <c r="AG267" s="6"/>
      <c r="AH267" s="6"/>
      <c r="AI267" s="6"/>
      <c r="AJ267" s="6"/>
      <c r="AK267" s="6"/>
      <c r="AL267" s="6"/>
      <c r="AM267" s="6"/>
      <c r="AN267" s="6"/>
      <c r="AO267" s="6"/>
    </row>
    <row r="268" spans="1:41" ht="14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15"/>
      <c r="AC268" s="15"/>
      <c r="AD268" s="15"/>
      <c r="AE268" s="15"/>
      <c r="AF268" s="6"/>
      <c r="AG268" s="6"/>
      <c r="AH268" s="6"/>
      <c r="AI268" s="6"/>
      <c r="AJ268" s="6"/>
      <c r="AK268" s="6"/>
      <c r="AL268" s="6"/>
      <c r="AM268" s="6"/>
      <c r="AN268" s="6"/>
      <c r="AO268" s="6"/>
    </row>
    <row r="269" spans="1:41" ht="14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15"/>
      <c r="AC269" s="15"/>
      <c r="AD269" s="15"/>
      <c r="AE269" s="15"/>
      <c r="AF269" s="6"/>
      <c r="AG269" s="6"/>
      <c r="AH269" s="6"/>
      <c r="AI269" s="6"/>
      <c r="AJ269" s="6"/>
      <c r="AK269" s="6"/>
      <c r="AL269" s="6"/>
      <c r="AM269" s="6"/>
      <c r="AN269" s="6"/>
      <c r="AO269" s="6"/>
    </row>
    <row r="270" spans="1:41" ht="14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15"/>
      <c r="AC270" s="15"/>
      <c r="AD270" s="15"/>
      <c r="AE270" s="15"/>
      <c r="AF270" s="6"/>
      <c r="AG270" s="6"/>
      <c r="AH270" s="6"/>
      <c r="AI270" s="6"/>
      <c r="AJ270" s="6"/>
      <c r="AK270" s="6"/>
      <c r="AL270" s="6"/>
      <c r="AM270" s="6"/>
      <c r="AN270" s="6"/>
      <c r="AO270" s="6"/>
    </row>
    <row r="271" spans="1:41" ht="14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15"/>
      <c r="AC271" s="15"/>
      <c r="AD271" s="15"/>
      <c r="AE271" s="15"/>
      <c r="AF271" s="6"/>
      <c r="AG271" s="6"/>
      <c r="AH271" s="6"/>
      <c r="AI271" s="6"/>
      <c r="AJ271" s="6"/>
      <c r="AK271" s="6"/>
      <c r="AL271" s="6"/>
      <c r="AM271" s="6"/>
      <c r="AN271" s="6"/>
      <c r="AO271" s="6"/>
    </row>
    <row r="272" spans="1:41" ht="1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15"/>
      <c r="AC272" s="15"/>
      <c r="AD272" s="15"/>
      <c r="AE272" s="15"/>
      <c r="AF272" s="6"/>
      <c r="AG272" s="6"/>
      <c r="AH272" s="6"/>
      <c r="AI272" s="6"/>
      <c r="AJ272" s="6"/>
      <c r="AK272" s="6"/>
      <c r="AL272" s="6"/>
      <c r="AM272" s="6"/>
      <c r="AN272" s="6"/>
      <c r="AO272" s="6"/>
    </row>
    <row r="273" spans="1:41" ht="14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15"/>
      <c r="AC273" s="15"/>
      <c r="AD273" s="15"/>
      <c r="AE273" s="15"/>
      <c r="AF273" s="6"/>
      <c r="AG273" s="6"/>
      <c r="AH273" s="6"/>
      <c r="AI273" s="6"/>
      <c r="AJ273" s="6"/>
      <c r="AK273" s="6"/>
      <c r="AL273" s="6"/>
      <c r="AM273" s="6"/>
      <c r="AN273" s="6"/>
      <c r="AO273" s="6"/>
    </row>
    <row r="274" spans="1:41" ht="14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15"/>
      <c r="AC274" s="15"/>
      <c r="AD274" s="15"/>
      <c r="AE274" s="15"/>
      <c r="AF274" s="6"/>
      <c r="AG274" s="6"/>
      <c r="AH274" s="6"/>
      <c r="AI274" s="6"/>
      <c r="AJ274" s="6"/>
      <c r="AK274" s="6"/>
      <c r="AL274" s="6"/>
      <c r="AM274" s="6"/>
      <c r="AN274" s="6"/>
      <c r="AO274" s="6"/>
    </row>
    <row r="275" spans="1:41" ht="14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15"/>
      <c r="AC275" s="15"/>
      <c r="AD275" s="15"/>
      <c r="AE275" s="15"/>
      <c r="AF275" s="6"/>
      <c r="AG275" s="6"/>
      <c r="AH275" s="6"/>
      <c r="AI275" s="6"/>
      <c r="AJ275" s="6"/>
      <c r="AK275" s="6"/>
      <c r="AL275" s="6"/>
      <c r="AM275" s="6"/>
      <c r="AN275" s="6"/>
      <c r="AO275" s="6"/>
    </row>
    <row r="276" spans="1:41" ht="14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15"/>
      <c r="AC276" s="15"/>
      <c r="AD276" s="15"/>
      <c r="AE276" s="15"/>
      <c r="AF276" s="6"/>
      <c r="AG276" s="6"/>
      <c r="AH276" s="6"/>
      <c r="AI276" s="6"/>
      <c r="AJ276" s="6"/>
      <c r="AK276" s="6"/>
      <c r="AL276" s="6"/>
      <c r="AM276" s="6"/>
      <c r="AN276" s="6"/>
      <c r="AO276" s="6"/>
    </row>
    <row r="277" spans="1:41" ht="14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15"/>
      <c r="AC277" s="15"/>
      <c r="AD277" s="15"/>
      <c r="AE277" s="15"/>
      <c r="AF277" s="6"/>
      <c r="AG277" s="6"/>
      <c r="AH277" s="6"/>
      <c r="AI277" s="6"/>
      <c r="AJ277" s="6"/>
      <c r="AK277" s="6"/>
      <c r="AL277" s="6"/>
      <c r="AM277" s="6"/>
      <c r="AN277" s="6"/>
      <c r="AO277" s="6"/>
    </row>
    <row r="278" spans="1:41" ht="14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15"/>
      <c r="AC278" s="15"/>
      <c r="AD278" s="15"/>
      <c r="AE278" s="15"/>
      <c r="AF278" s="6"/>
      <c r="AG278" s="6"/>
      <c r="AH278" s="6"/>
      <c r="AI278" s="6"/>
      <c r="AJ278" s="6"/>
      <c r="AK278" s="6"/>
      <c r="AL278" s="6"/>
      <c r="AM278" s="6"/>
      <c r="AN278" s="6"/>
      <c r="AO278" s="6"/>
    </row>
    <row r="279" spans="1:41" ht="14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15"/>
      <c r="AC279" s="15"/>
      <c r="AD279" s="15"/>
      <c r="AE279" s="15"/>
      <c r="AF279" s="6"/>
      <c r="AG279" s="6"/>
      <c r="AH279" s="6"/>
      <c r="AI279" s="6"/>
      <c r="AJ279" s="6"/>
      <c r="AK279" s="6"/>
      <c r="AL279" s="6"/>
      <c r="AM279" s="6"/>
      <c r="AN279" s="6"/>
      <c r="AO279" s="6"/>
    </row>
    <row r="280" spans="1:41" ht="14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15"/>
      <c r="AC280" s="15"/>
      <c r="AD280" s="15"/>
      <c r="AE280" s="15"/>
      <c r="AF280" s="6"/>
      <c r="AG280" s="6"/>
      <c r="AH280" s="6"/>
      <c r="AI280" s="6"/>
      <c r="AJ280" s="6"/>
      <c r="AK280" s="6"/>
      <c r="AL280" s="6"/>
      <c r="AM280" s="6"/>
      <c r="AN280" s="6"/>
      <c r="AO280" s="6"/>
    </row>
    <row r="281" spans="1:41" ht="14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15"/>
      <c r="AC281" s="15"/>
      <c r="AD281" s="15"/>
      <c r="AE281" s="15"/>
      <c r="AF281" s="6"/>
      <c r="AG281" s="6"/>
      <c r="AH281" s="6"/>
      <c r="AI281" s="6"/>
      <c r="AJ281" s="6"/>
      <c r="AK281" s="6"/>
      <c r="AL281" s="6"/>
      <c r="AM281" s="6"/>
      <c r="AN281" s="6"/>
      <c r="AO281" s="6"/>
    </row>
    <row r="282" spans="1:41" ht="14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15"/>
      <c r="AC282" s="15"/>
      <c r="AD282" s="15"/>
      <c r="AE282" s="15"/>
      <c r="AF282" s="6"/>
      <c r="AG282" s="6"/>
      <c r="AH282" s="6"/>
      <c r="AI282" s="6"/>
      <c r="AJ282" s="6"/>
      <c r="AK282" s="6"/>
      <c r="AL282" s="6"/>
      <c r="AM282" s="6"/>
      <c r="AN282" s="6"/>
      <c r="AO282" s="6"/>
    </row>
    <row r="283" spans="1:41" ht="14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15"/>
      <c r="AC283" s="15"/>
      <c r="AD283" s="15"/>
      <c r="AE283" s="15"/>
      <c r="AF283" s="6"/>
      <c r="AG283" s="6"/>
      <c r="AH283" s="6"/>
      <c r="AI283" s="6"/>
      <c r="AJ283" s="6"/>
      <c r="AK283" s="6"/>
      <c r="AL283" s="6"/>
      <c r="AM283" s="6"/>
      <c r="AN283" s="6"/>
      <c r="AO283" s="6"/>
    </row>
    <row r="284" spans="1:41" ht="1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15"/>
      <c r="AC284" s="15"/>
      <c r="AD284" s="15"/>
      <c r="AE284" s="15"/>
      <c r="AF284" s="6"/>
      <c r="AG284" s="6"/>
      <c r="AH284" s="6"/>
      <c r="AI284" s="6"/>
      <c r="AJ284" s="6"/>
      <c r="AK284" s="6"/>
      <c r="AL284" s="6"/>
      <c r="AM284" s="6"/>
      <c r="AN284" s="6"/>
      <c r="AO284" s="6"/>
    </row>
    <row r="285" spans="1:41" ht="14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15"/>
      <c r="AC285" s="15"/>
      <c r="AD285" s="15"/>
      <c r="AE285" s="15"/>
      <c r="AF285" s="6"/>
      <c r="AG285" s="6"/>
      <c r="AH285" s="6"/>
      <c r="AI285" s="6"/>
      <c r="AJ285" s="6"/>
      <c r="AK285" s="6"/>
      <c r="AL285" s="6"/>
      <c r="AM285" s="6"/>
      <c r="AN285" s="6"/>
      <c r="AO285" s="6"/>
    </row>
    <row r="286" spans="1:41" ht="14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15"/>
      <c r="AC286" s="15"/>
      <c r="AD286" s="15"/>
      <c r="AE286" s="15"/>
      <c r="AF286" s="6"/>
      <c r="AG286" s="6"/>
      <c r="AH286" s="6"/>
      <c r="AI286" s="6"/>
      <c r="AJ286" s="6"/>
      <c r="AK286" s="6"/>
      <c r="AL286" s="6"/>
      <c r="AM286" s="6"/>
      <c r="AN286" s="6"/>
      <c r="AO286" s="6"/>
    </row>
    <row r="287" spans="1:41" ht="14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15"/>
      <c r="AC287" s="15"/>
      <c r="AD287" s="15"/>
      <c r="AE287" s="15"/>
      <c r="AF287" s="6"/>
      <c r="AG287" s="6"/>
      <c r="AH287" s="6"/>
      <c r="AI287" s="6"/>
      <c r="AJ287" s="6"/>
      <c r="AK287" s="6"/>
      <c r="AL287" s="6"/>
      <c r="AM287" s="6"/>
      <c r="AN287" s="6"/>
      <c r="AO287" s="6"/>
    </row>
    <row r="288" spans="1:41" ht="14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15"/>
      <c r="AC288" s="15"/>
      <c r="AD288" s="15"/>
      <c r="AE288" s="15"/>
      <c r="AF288" s="6"/>
      <c r="AG288" s="6"/>
      <c r="AH288" s="6"/>
      <c r="AI288" s="6"/>
      <c r="AJ288" s="6"/>
      <c r="AK288" s="6"/>
      <c r="AL288" s="6"/>
      <c r="AM288" s="6"/>
      <c r="AN288" s="6"/>
      <c r="AO288" s="6"/>
    </row>
    <row r="289" spans="1:41" ht="14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15"/>
      <c r="AC289" s="15"/>
      <c r="AD289" s="15"/>
      <c r="AE289" s="15"/>
      <c r="AF289" s="6"/>
      <c r="AG289" s="6"/>
      <c r="AH289" s="6"/>
      <c r="AI289" s="6"/>
      <c r="AJ289" s="6"/>
      <c r="AK289" s="6"/>
      <c r="AL289" s="6"/>
      <c r="AM289" s="6"/>
      <c r="AN289" s="6"/>
      <c r="AO289" s="6"/>
    </row>
    <row r="290" spans="1:41" ht="14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15"/>
      <c r="AC290" s="15"/>
      <c r="AD290" s="15"/>
      <c r="AE290" s="15"/>
      <c r="AF290" s="6"/>
      <c r="AG290" s="6"/>
      <c r="AH290" s="6"/>
      <c r="AI290" s="6"/>
      <c r="AJ290" s="6"/>
      <c r="AK290" s="6"/>
      <c r="AL290" s="6"/>
      <c r="AM290" s="6"/>
      <c r="AN290" s="6"/>
      <c r="AO290" s="6"/>
    </row>
    <row r="291" spans="1:41" ht="14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15"/>
      <c r="AC291" s="15"/>
      <c r="AD291" s="15"/>
      <c r="AE291" s="15"/>
      <c r="AF291" s="6"/>
      <c r="AG291" s="6"/>
      <c r="AH291" s="6"/>
      <c r="AI291" s="6"/>
      <c r="AJ291" s="6"/>
      <c r="AK291" s="6"/>
      <c r="AL291" s="6"/>
      <c r="AM291" s="6"/>
      <c r="AN291" s="6"/>
      <c r="AO291" s="6"/>
    </row>
    <row r="292" spans="1:41" ht="14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15"/>
      <c r="AC292" s="15"/>
      <c r="AD292" s="15"/>
      <c r="AE292" s="15"/>
      <c r="AF292" s="6"/>
      <c r="AG292" s="6"/>
      <c r="AH292" s="6"/>
      <c r="AI292" s="6"/>
      <c r="AJ292" s="6"/>
      <c r="AK292" s="6"/>
      <c r="AL292" s="6"/>
      <c r="AM292" s="6"/>
      <c r="AN292" s="6"/>
      <c r="AO292" s="6"/>
    </row>
    <row r="293" spans="1:41" ht="14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15"/>
      <c r="AC293" s="15"/>
      <c r="AD293" s="15"/>
      <c r="AE293" s="15"/>
      <c r="AF293" s="6"/>
      <c r="AG293" s="6"/>
      <c r="AH293" s="6"/>
      <c r="AI293" s="6"/>
      <c r="AJ293" s="6"/>
      <c r="AK293" s="6"/>
      <c r="AL293" s="6"/>
      <c r="AM293" s="6"/>
      <c r="AN293" s="6"/>
      <c r="AO293" s="6"/>
    </row>
    <row r="294" spans="1:41" ht="14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15"/>
      <c r="AC294" s="15"/>
      <c r="AD294" s="15"/>
      <c r="AE294" s="15"/>
      <c r="AF294" s="6"/>
      <c r="AG294" s="6"/>
      <c r="AH294" s="6"/>
      <c r="AI294" s="6"/>
      <c r="AJ294" s="6"/>
      <c r="AK294" s="6"/>
      <c r="AL294" s="6"/>
      <c r="AM294" s="6"/>
      <c r="AN294" s="6"/>
      <c r="AO294" s="6"/>
    </row>
    <row r="295" spans="1:41" ht="14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15"/>
      <c r="AC295" s="15"/>
      <c r="AD295" s="15"/>
      <c r="AE295" s="15"/>
      <c r="AF295" s="6"/>
      <c r="AG295" s="6"/>
      <c r="AH295" s="6"/>
      <c r="AI295" s="6"/>
      <c r="AJ295" s="6"/>
      <c r="AK295" s="6"/>
      <c r="AL295" s="6"/>
      <c r="AM295" s="6"/>
      <c r="AN295" s="6"/>
      <c r="AO295" s="6"/>
    </row>
    <row r="296" spans="1:41" ht="14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15"/>
      <c r="AC296" s="15"/>
      <c r="AD296" s="15"/>
      <c r="AE296" s="15"/>
      <c r="AF296" s="6"/>
      <c r="AG296" s="6"/>
      <c r="AH296" s="6"/>
      <c r="AI296" s="6"/>
      <c r="AJ296" s="6"/>
      <c r="AK296" s="6"/>
      <c r="AL296" s="6"/>
      <c r="AM296" s="6"/>
      <c r="AN296" s="6"/>
      <c r="AO296" s="6"/>
    </row>
    <row r="297" spans="1:41" ht="14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15"/>
      <c r="AC297" s="15"/>
      <c r="AD297" s="15"/>
      <c r="AE297" s="15"/>
      <c r="AF297" s="6"/>
      <c r="AG297" s="6"/>
      <c r="AH297" s="6"/>
      <c r="AI297" s="6"/>
      <c r="AJ297" s="6"/>
      <c r="AK297" s="6"/>
      <c r="AL297" s="6"/>
      <c r="AM297" s="6"/>
      <c r="AN297" s="6"/>
      <c r="AO297" s="6"/>
    </row>
    <row r="298" spans="1:41" ht="14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15"/>
      <c r="AC298" s="15"/>
      <c r="AD298" s="15"/>
      <c r="AE298" s="15"/>
      <c r="AF298" s="6"/>
      <c r="AG298" s="6"/>
      <c r="AH298" s="6"/>
      <c r="AI298" s="6"/>
      <c r="AJ298" s="6"/>
      <c r="AK298" s="6"/>
      <c r="AL298" s="6"/>
      <c r="AM298" s="6"/>
      <c r="AN298" s="6"/>
      <c r="AO298" s="6"/>
    </row>
    <row r="299" spans="1:41" ht="14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15"/>
      <c r="AC299" s="15"/>
      <c r="AD299" s="15"/>
      <c r="AE299" s="15"/>
      <c r="AF299" s="6"/>
      <c r="AG299" s="6"/>
      <c r="AH299" s="6"/>
      <c r="AI299" s="6"/>
      <c r="AJ299" s="6"/>
      <c r="AK299" s="6"/>
      <c r="AL299" s="6"/>
      <c r="AM299" s="6"/>
      <c r="AN299" s="6"/>
      <c r="AO299" s="6"/>
    </row>
    <row r="300" spans="1:41" ht="14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15"/>
      <c r="AC300" s="15"/>
      <c r="AD300" s="15"/>
      <c r="AE300" s="15"/>
      <c r="AF300" s="6"/>
      <c r="AG300" s="6"/>
      <c r="AH300" s="6"/>
      <c r="AI300" s="6"/>
      <c r="AJ300" s="6"/>
      <c r="AK300" s="6"/>
      <c r="AL300" s="6"/>
      <c r="AM300" s="6"/>
      <c r="AN300" s="6"/>
      <c r="AO300" s="6"/>
    </row>
    <row r="301" spans="1:41" ht="14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15"/>
      <c r="AC301" s="15"/>
      <c r="AD301" s="15"/>
      <c r="AE301" s="15"/>
      <c r="AF301" s="6"/>
      <c r="AG301" s="6"/>
      <c r="AH301" s="6"/>
      <c r="AI301" s="6"/>
      <c r="AJ301" s="6"/>
      <c r="AK301" s="6"/>
      <c r="AL301" s="6"/>
      <c r="AM301" s="6"/>
      <c r="AN301" s="6"/>
      <c r="AO301" s="6"/>
    </row>
    <row r="302" spans="1:41" ht="14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15"/>
      <c r="AC302" s="15"/>
      <c r="AD302" s="15"/>
      <c r="AE302" s="15"/>
      <c r="AF302" s="6"/>
      <c r="AG302" s="6"/>
      <c r="AH302" s="6"/>
      <c r="AI302" s="6"/>
      <c r="AJ302" s="6"/>
      <c r="AK302" s="6"/>
      <c r="AL302" s="6"/>
      <c r="AM302" s="6"/>
      <c r="AN302" s="6"/>
      <c r="AO302" s="6"/>
    </row>
    <row r="303" spans="1:41" ht="14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15"/>
      <c r="AC303" s="15"/>
      <c r="AD303" s="15"/>
      <c r="AE303" s="15"/>
      <c r="AF303" s="6"/>
      <c r="AG303" s="6"/>
      <c r="AH303" s="6"/>
      <c r="AI303" s="6"/>
      <c r="AJ303" s="6"/>
      <c r="AK303" s="6"/>
      <c r="AL303" s="6"/>
      <c r="AM303" s="6"/>
      <c r="AN303" s="6"/>
      <c r="AO303" s="6"/>
    </row>
    <row r="304" spans="1:41" ht="14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15"/>
      <c r="AC304" s="15"/>
      <c r="AD304" s="15"/>
      <c r="AE304" s="15"/>
      <c r="AF304" s="6"/>
      <c r="AG304" s="6"/>
      <c r="AH304" s="6"/>
      <c r="AI304" s="6"/>
      <c r="AJ304" s="6"/>
      <c r="AK304" s="6"/>
      <c r="AL304" s="6"/>
      <c r="AM304" s="6"/>
      <c r="AN304" s="6"/>
      <c r="AO304" s="6"/>
    </row>
    <row r="305" spans="1:41" ht="14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15"/>
      <c r="AC305" s="15"/>
      <c r="AD305" s="15"/>
      <c r="AE305" s="15"/>
      <c r="AF305" s="6"/>
      <c r="AG305" s="6"/>
      <c r="AH305" s="6"/>
      <c r="AI305" s="6"/>
      <c r="AJ305" s="6"/>
      <c r="AK305" s="6"/>
      <c r="AL305" s="6"/>
      <c r="AM305" s="6"/>
      <c r="AN305" s="6"/>
      <c r="AO305" s="6"/>
    </row>
    <row r="306" spans="1:41" ht="14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15"/>
      <c r="AC306" s="15"/>
      <c r="AD306" s="15"/>
      <c r="AE306" s="15"/>
      <c r="AF306" s="6"/>
      <c r="AG306" s="6"/>
      <c r="AH306" s="6"/>
      <c r="AI306" s="6"/>
      <c r="AJ306" s="6"/>
      <c r="AK306" s="6"/>
      <c r="AL306" s="6"/>
      <c r="AM306" s="6"/>
      <c r="AN306" s="6"/>
      <c r="AO306" s="6"/>
    </row>
    <row r="307" spans="1:41" ht="14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15"/>
      <c r="AC307" s="15"/>
      <c r="AD307" s="15"/>
      <c r="AE307" s="15"/>
      <c r="AF307" s="6"/>
      <c r="AG307" s="6"/>
      <c r="AH307" s="6"/>
      <c r="AI307" s="6"/>
      <c r="AJ307" s="6"/>
      <c r="AK307" s="6"/>
      <c r="AL307" s="6"/>
      <c r="AM307" s="6"/>
      <c r="AN307" s="6"/>
      <c r="AO307" s="6"/>
    </row>
    <row r="308" spans="1:41" ht="14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15"/>
      <c r="AC308" s="15"/>
      <c r="AD308" s="15"/>
      <c r="AE308" s="15"/>
      <c r="AF308" s="6"/>
      <c r="AG308" s="6"/>
      <c r="AH308" s="6"/>
      <c r="AI308" s="6"/>
      <c r="AJ308" s="6"/>
      <c r="AK308" s="6"/>
      <c r="AL308" s="6"/>
      <c r="AM308" s="6"/>
      <c r="AN308" s="6"/>
      <c r="AO308" s="6"/>
    </row>
    <row r="309" spans="1:41" ht="14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15"/>
      <c r="AC309" s="15"/>
      <c r="AD309" s="15"/>
      <c r="AE309" s="15"/>
      <c r="AF309" s="6"/>
      <c r="AG309" s="6"/>
      <c r="AH309" s="6"/>
      <c r="AI309" s="6"/>
      <c r="AJ309" s="6"/>
      <c r="AK309" s="6"/>
      <c r="AL309" s="6"/>
      <c r="AM309" s="6"/>
      <c r="AN309" s="6"/>
      <c r="AO309" s="6"/>
    </row>
    <row r="310" spans="1:41" ht="14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15"/>
      <c r="AC310" s="15"/>
      <c r="AD310" s="15"/>
      <c r="AE310" s="15"/>
      <c r="AF310" s="6"/>
      <c r="AG310" s="6"/>
      <c r="AH310" s="6"/>
      <c r="AI310" s="6"/>
      <c r="AJ310" s="6"/>
      <c r="AK310" s="6"/>
      <c r="AL310" s="6"/>
      <c r="AM310" s="6"/>
      <c r="AN310" s="6"/>
      <c r="AO310" s="6"/>
    </row>
    <row r="311" spans="1:41" ht="14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15"/>
      <c r="AC311" s="15"/>
      <c r="AD311" s="15"/>
      <c r="AE311" s="15"/>
      <c r="AF311" s="6"/>
      <c r="AG311" s="6"/>
      <c r="AH311" s="6"/>
      <c r="AI311" s="6"/>
      <c r="AJ311" s="6"/>
      <c r="AK311" s="6"/>
      <c r="AL311" s="6"/>
      <c r="AM311" s="6"/>
      <c r="AN311" s="6"/>
      <c r="AO311" s="6"/>
    </row>
    <row r="312" spans="1:41" ht="14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15"/>
      <c r="AC312" s="15"/>
      <c r="AD312" s="15"/>
      <c r="AE312" s="15"/>
      <c r="AF312" s="6"/>
      <c r="AG312" s="6"/>
      <c r="AH312" s="6"/>
      <c r="AI312" s="6"/>
      <c r="AJ312" s="6"/>
      <c r="AK312" s="6"/>
      <c r="AL312" s="6"/>
      <c r="AM312" s="6"/>
      <c r="AN312" s="6"/>
      <c r="AO312" s="6"/>
    </row>
    <row r="313" spans="1:41" ht="14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15"/>
      <c r="AC313" s="15"/>
      <c r="AD313" s="15"/>
      <c r="AE313" s="15"/>
      <c r="AF313" s="6"/>
      <c r="AG313" s="6"/>
      <c r="AH313" s="6"/>
      <c r="AI313" s="6"/>
      <c r="AJ313" s="6"/>
      <c r="AK313" s="6"/>
      <c r="AL313" s="6"/>
      <c r="AM313" s="6"/>
      <c r="AN313" s="6"/>
      <c r="AO313" s="6"/>
    </row>
    <row r="314" spans="1:41" ht="14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15"/>
      <c r="AC314" s="15"/>
      <c r="AD314" s="15"/>
      <c r="AE314" s="15"/>
      <c r="AF314" s="6"/>
      <c r="AG314" s="6"/>
      <c r="AH314" s="6"/>
      <c r="AI314" s="6"/>
      <c r="AJ314" s="6"/>
      <c r="AK314" s="6"/>
      <c r="AL314" s="6"/>
      <c r="AM314" s="6"/>
      <c r="AN314" s="6"/>
      <c r="AO314" s="6"/>
    </row>
    <row r="315" spans="1:41" ht="14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15"/>
      <c r="AC315" s="15"/>
      <c r="AD315" s="15"/>
      <c r="AE315" s="15"/>
      <c r="AF315" s="6"/>
      <c r="AG315" s="6"/>
      <c r="AH315" s="6"/>
      <c r="AI315" s="6"/>
      <c r="AJ315" s="6"/>
      <c r="AK315" s="6"/>
      <c r="AL315" s="6"/>
      <c r="AM315" s="6"/>
      <c r="AN315" s="6"/>
      <c r="AO315" s="6"/>
    </row>
    <row r="316" spans="1:41" ht="14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15"/>
      <c r="AC316" s="15"/>
      <c r="AD316" s="15"/>
      <c r="AE316" s="15"/>
      <c r="AF316" s="6"/>
      <c r="AG316" s="6"/>
      <c r="AH316" s="6"/>
      <c r="AI316" s="6"/>
      <c r="AJ316" s="6"/>
      <c r="AK316" s="6"/>
      <c r="AL316" s="6"/>
      <c r="AM316" s="6"/>
      <c r="AN316" s="6"/>
      <c r="AO316" s="6"/>
    </row>
    <row r="317" spans="1:41" ht="14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15"/>
      <c r="AC317" s="15"/>
      <c r="AD317" s="15"/>
      <c r="AE317" s="15"/>
      <c r="AF317" s="6"/>
      <c r="AG317" s="6"/>
      <c r="AH317" s="6"/>
      <c r="AI317" s="6"/>
      <c r="AJ317" s="6"/>
      <c r="AK317" s="6"/>
      <c r="AL317" s="6"/>
      <c r="AM317" s="6"/>
      <c r="AN317" s="6"/>
      <c r="AO317" s="6"/>
    </row>
    <row r="318" spans="1:41" ht="14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15"/>
      <c r="AC318" s="15"/>
      <c r="AD318" s="15"/>
      <c r="AE318" s="15"/>
      <c r="AF318" s="6"/>
      <c r="AG318" s="6"/>
      <c r="AH318" s="6"/>
      <c r="AI318" s="6"/>
      <c r="AJ318" s="6"/>
      <c r="AK318" s="6"/>
      <c r="AL318" s="6"/>
      <c r="AM318" s="6"/>
      <c r="AN318" s="6"/>
      <c r="AO318" s="6"/>
    </row>
    <row r="319" spans="1:41" ht="14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15"/>
      <c r="AC319" s="15"/>
      <c r="AD319" s="15"/>
      <c r="AE319" s="15"/>
      <c r="AF319" s="6"/>
      <c r="AG319" s="6"/>
      <c r="AH319" s="6"/>
      <c r="AI319" s="6"/>
      <c r="AJ319" s="6"/>
      <c r="AK319" s="6"/>
      <c r="AL319" s="6"/>
      <c r="AM319" s="6"/>
      <c r="AN319" s="6"/>
      <c r="AO319" s="6"/>
    </row>
    <row r="320" spans="1:41" ht="14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15"/>
      <c r="AC320" s="15"/>
      <c r="AD320" s="15"/>
      <c r="AE320" s="15"/>
      <c r="AF320" s="6"/>
      <c r="AG320" s="6"/>
      <c r="AH320" s="6"/>
      <c r="AI320" s="6"/>
      <c r="AJ320" s="6"/>
      <c r="AK320" s="6"/>
      <c r="AL320" s="6"/>
      <c r="AM320" s="6"/>
      <c r="AN320" s="6"/>
      <c r="AO320" s="6"/>
    </row>
    <row r="321" spans="1:41" ht="14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15"/>
      <c r="AC321" s="15"/>
      <c r="AD321" s="15"/>
      <c r="AE321" s="15"/>
      <c r="AF321" s="6"/>
      <c r="AG321" s="6"/>
      <c r="AH321" s="6"/>
      <c r="AI321" s="6"/>
      <c r="AJ321" s="6"/>
      <c r="AK321" s="6"/>
      <c r="AL321" s="6"/>
      <c r="AM321" s="6"/>
      <c r="AN321" s="6"/>
      <c r="AO321" s="6"/>
    </row>
    <row r="322" spans="1:41" ht="14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15"/>
      <c r="AC322" s="15"/>
      <c r="AD322" s="15"/>
      <c r="AE322" s="15"/>
      <c r="AF322" s="6"/>
      <c r="AG322" s="6"/>
      <c r="AH322" s="6"/>
      <c r="AI322" s="6"/>
      <c r="AJ322" s="6"/>
      <c r="AK322" s="6"/>
      <c r="AL322" s="6"/>
      <c r="AM322" s="6"/>
      <c r="AN322" s="6"/>
      <c r="AO322" s="6"/>
    </row>
    <row r="323" spans="1:41" ht="14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15"/>
      <c r="AC323" s="15"/>
      <c r="AD323" s="15"/>
      <c r="AE323" s="15"/>
      <c r="AF323" s="6"/>
      <c r="AG323" s="6"/>
      <c r="AH323" s="6"/>
      <c r="AI323" s="6"/>
      <c r="AJ323" s="6"/>
      <c r="AK323" s="6"/>
      <c r="AL323" s="6"/>
      <c r="AM323" s="6"/>
      <c r="AN323" s="6"/>
      <c r="AO323" s="6"/>
    </row>
    <row r="324" spans="1:41" ht="14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15"/>
      <c r="AC324" s="15"/>
      <c r="AD324" s="15"/>
      <c r="AE324" s="15"/>
      <c r="AF324" s="6"/>
      <c r="AG324" s="6"/>
      <c r="AH324" s="6"/>
      <c r="AI324" s="6"/>
      <c r="AJ324" s="6"/>
      <c r="AK324" s="6"/>
      <c r="AL324" s="6"/>
      <c r="AM324" s="6"/>
      <c r="AN324" s="6"/>
      <c r="AO324" s="6"/>
    </row>
    <row r="325" spans="1:41" ht="14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15"/>
      <c r="AC325" s="15"/>
      <c r="AD325" s="15"/>
      <c r="AE325" s="15"/>
      <c r="AF325" s="6"/>
      <c r="AG325" s="6"/>
      <c r="AH325" s="6"/>
      <c r="AI325" s="6"/>
      <c r="AJ325" s="6"/>
      <c r="AK325" s="6"/>
      <c r="AL325" s="6"/>
      <c r="AM325" s="6"/>
      <c r="AN325" s="6"/>
      <c r="AO325" s="6"/>
    </row>
    <row r="326" spans="1:41" ht="14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15"/>
      <c r="AC326" s="15"/>
      <c r="AD326" s="15"/>
      <c r="AE326" s="15"/>
      <c r="AF326" s="6"/>
      <c r="AG326" s="6"/>
      <c r="AH326" s="6"/>
      <c r="AI326" s="6"/>
      <c r="AJ326" s="6"/>
      <c r="AK326" s="6"/>
      <c r="AL326" s="6"/>
      <c r="AM326" s="6"/>
      <c r="AN326" s="6"/>
      <c r="AO326" s="6"/>
    </row>
    <row r="327" spans="1:41" ht="14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15"/>
      <c r="AC327" s="15"/>
      <c r="AD327" s="15"/>
      <c r="AE327" s="15"/>
      <c r="AF327" s="6"/>
      <c r="AG327" s="6"/>
      <c r="AH327" s="6"/>
      <c r="AI327" s="6"/>
      <c r="AJ327" s="6"/>
      <c r="AK327" s="6"/>
      <c r="AL327" s="6"/>
      <c r="AM327" s="6"/>
      <c r="AN327" s="6"/>
      <c r="AO327" s="6"/>
    </row>
    <row r="328" spans="1:41" ht="14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15"/>
      <c r="AC328" s="15"/>
      <c r="AD328" s="15"/>
      <c r="AE328" s="15"/>
      <c r="AF328" s="6"/>
      <c r="AG328" s="6"/>
      <c r="AH328" s="6"/>
      <c r="AI328" s="6"/>
      <c r="AJ328" s="6"/>
      <c r="AK328" s="6"/>
      <c r="AL328" s="6"/>
      <c r="AM328" s="6"/>
      <c r="AN328" s="6"/>
      <c r="AO328" s="6"/>
    </row>
    <row r="329" spans="1:41" ht="14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15"/>
      <c r="AC329" s="15"/>
      <c r="AD329" s="15"/>
      <c r="AE329" s="15"/>
      <c r="AF329" s="6"/>
      <c r="AG329" s="6"/>
      <c r="AH329" s="6"/>
      <c r="AI329" s="6"/>
      <c r="AJ329" s="6"/>
      <c r="AK329" s="6"/>
      <c r="AL329" s="6"/>
      <c r="AM329" s="6"/>
      <c r="AN329" s="6"/>
      <c r="AO329" s="6"/>
    </row>
    <row r="330" spans="1:41" ht="14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15"/>
      <c r="AC330" s="15"/>
      <c r="AD330" s="15"/>
      <c r="AE330" s="15"/>
      <c r="AF330" s="6"/>
      <c r="AG330" s="6"/>
      <c r="AH330" s="6"/>
      <c r="AI330" s="6"/>
      <c r="AJ330" s="6"/>
      <c r="AK330" s="6"/>
      <c r="AL330" s="6"/>
      <c r="AM330" s="6"/>
      <c r="AN330" s="6"/>
      <c r="AO330" s="6"/>
    </row>
    <row r="331" spans="1:41" ht="14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15"/>
      <c r="AC331" s="15"/>
      <c r="AD331" s="15"/>
      <c r="AE331" s="15"/>
      <c r="AF331" s="6"/>
      <c r="AG331" s="6"/>
      <c r="AH331" s="6"/>
      <c r="AI331" s="6"/>
      <c r="AJ331" s="6"/>
      <c r="AK331" s="6"/>
      <c r="AL331" s="6"/>
      <c r="AM331" s="6"/>
      <c r="AN331" s="6"/>
      <c r="AO331" s="6"/>
    </row>
    <row r="332" spans="1:41" ht="14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15"/>
      <c r="AC332" s="15"/>
      <c r="AD332" s="15"/>
      <c r="AE332" s="15"/>
      <c r="AF332" s="6"/>
      <c r="AG332" s="6"/>
      <c r="AH332" s="6"/>
      <c r="AI332" s="6"/>
      <c r="AJ332" s="6"/>
      <c r="AK332" s="6"/>
      <c r="AL332" s="6"/>
      <c r="AM332" s="6"/>
      <c r="AN332" s="6"/>
      <c r="AO332" s="6"/>
    </row>
    <row r="333" spans="1:41" ht="14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15"/>
      <c r="AC333" s="15"/>
      <c r="AD333" s="15"/>
      <c r="AE333" s="15"/>
      <c r="AF333" s="6"/>
      <c r="AG333" s="6"/>
      <c r="AH333" s="6"/>
      <c r="AI333" s="6"/>
      <c r="AJ333" s="6"/>
      <c r="AK333" s="6"/>
      <c r="AL333" s="6"/>
      <c r="AM333" s="6"/>
      <c r="AN333" s="6"/>
      <c r="AO333" s="6"/>
    </row>
    <row r="334" spans="1:41" ht="14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15"/>
      <c r="AC334" s="15"/>
      <c r="AD334" s="15"/>
      <c r="AE334" s="15"/>
      <c r="AF334" s="6"/>
      <c r="AG334" s="6"/>
      <c r="AH334" s="6"/>
      <c r="AI334" s="6"/>
      <c r="AJ334" s="6"/>
      <c r="AK334" s="6"/>
      <c r="AL334" s="6"/>
      <c r="AM334" s="6"/>
      <c r="AN334" s="6"/>
      <c r="AO334" s="6"/>
    </row>
    <row r="335" spans="1:41" ht="14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15"/>
      <c r="AC335" s="15"/>
      <c r="AD335" s="15"/>
      <c r="AE335" s="15"/>
      <c r="AF335" s="6"/>
      <c r="AG335" s="6"/>
      <c r="AH335" s="6"/>
      <c r="AI335" s="6"/>
      <c r="AJ335" s="6"/>
      <c r="AK335" s="6"/>
      <c r="AL335" s="6"/>
      <c r="AM335" s="6"/>
      <c r="AN335" s="6"/>
      <c r="AO335" s="6"/>
    </row>
    <row r="336" spans="1:41" ht="14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15"/>
      <c r="AC336" s="15"/>
      <c r="AD336" s="15"/>
      <c r="AE336" s="15"/>
      <c r="AF336" s="6"/>
      <c r="AG336" s="6"/>
      <c r="AH336" s="6"/>
      <c r="AI336" s="6"/>
      <c r="AJ336" s="6"/>
      <c r="AK336" s="6"/>
      <c r="AL336" s="6"/>
      <c r="AM336" s="6"/>
      <c r="AN336" s="6"/>
      <c r="AO336" s="6"/>
    </row>
    <row r="337" spans="1:41" ht="14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15"/>
      <c r="AC337" s="15"/>
      <c r="AD337" s="15"/>
      <c r="AE337" s="15"/>
      <c r="AF337" s="6"/>
      <c r="AG337" s="6"/>
      <c r="AH337" s="6"/>
      <c r="AI337" s="6"/>
      <c r="AJ337" s="6"/>
      <c r="AK337" s="6"/>
      <c r="AL337" s="6"/>
      <c r="AM337" s="6"/>
      <c r="AN337" s="6"/>
      <c r="AO337" s="6"/>
    </row>
    <row r="338" spans="1:41" ht="14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15"/>
      <c r="AC338" s="15"/>
      <c r="AD338" s="15"/>
      <c r="AE338" s="15"/>
      <c r="AF338" s="6"/>
      <c r="AG338" s="6"/>
      <c r="AH338" s="6"/>
      <c r="AI338" s="6"/>
      <c r="AJ338" s="6"/>
      <c r="AK338" s="6"/>
      <c r="AL338" s="6"/>
      <c r="AM338" s="6"/>
      <c r="AN338" s="6"/>
      <c r="AO338" s="6"/>
    </row>
    <row r="339" spans="1:41" ht="14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15"/>
      <c r="AC339" s="15"/>
      <c r="AD339" s="15"/>
      <c r="AE339" s="15"/>
      <c r="AF339" s="6"/>
      <c r="AG339" s="6"/>
      <c r="AH339" s="6"/>
      <c r="AI339" s="6"/>
      <c r="AJ339" s="6"/>
      <c r="AK339" s="6"/>
      <c r="AL339" s="6"/>
      <c r="AM339" s="6"/>
      <c r="AN339" s="6"/>
      <c r="AO339" s="6"/>
    </row>
    <row r="340" spans="1:41" ht="14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15"/>
      <c r="AC340" s="15"/>
      <c r="AD340" s="15"/>
      <c r="AE340" s="15"/>
      <c r="AF340" s="6"/>
      <c r="AG340" s="6"/>
      <c r="AH340" s="6"/>
      <c r="AI340" s="6"/>
      <c r="AJ340" s="6"/>
      <c r="AK340" s="6"/>
      <c r="AL340" s="6"/>
      <c r="AM340" s="6"/>
      <c r="AN340" s="6"/>
      <c r="AO340" s="6"/>
    </row>
    <row r="341" spans="1:41" ht="14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15"/>
      <c r="AC341" s="15"/>
      <c r="AD341" s="15"/>
      <c r="AE341" s="15"/>
      <c r="AF341" s="6"/>
      <c r="AG341" s="6"/>
      <c r="AH341" s="6"/>
      <c r="AI341" s="6"/>
      <c r="AJ341" s="6"/>
      <c r="AK341" s="6"/>
      <c r="AL341" s="6"/>
      <c r="AM341" s="6"/>
      <c r="AN341" s="6"/>
      <c r="AO341" s="6"/>
    </row>
    <row r="342" spans="1:41" ht="14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15"/>
      <c r="AC342" s="15"/>
      <c r="AD342" s="15"/>
      <c r="AE342" s="15"/>
      <c r="AF342" s="6"/>
      <c r="AG342" s="6"/>
      <c r="AH342" s="6"/>
      <c r="AI342" s="6"/>
      <c r="AJ342" s="6"/>
      <c r="AK342" s="6"/>
      <c r="AL342" s="6"/>
      <c r="AM342" s="6"/>
      <c r="AN342" s="6"/>
      <c r="AO342" s="6"/>
    </row>
    <row r="343" spans="1:41" ht="14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15"/>
      <c r="AC343" s="15"/>
      <c r="AD343" s="15"/>
      <c r="AE343" s="15"/>
      <c r="AF343" s="6"/>
      <c r="AG343" s="6"/>
      <c r="AH343" s="6"/>
      <c r="AI343" s="6"/>
      <c r="AJ343" s="6"/>
      <c r="AK343" s="6"/>
      <c r="AL343" s="6"/>
      <c r="AM343" s="6"/>
      <c r="AN343" s="6"/>
      <c r="AO343" s="6"/>
    </row>
    <row r="344" spans="1:41" ht="14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15"/>
      <c r="AC344" s="15"/>
      <c r="AD344" s="15"/>
      <c r="AE344" s="15"/>
      <c r="AF344" s="6"/>
      <c r="AG344" s="6"/>
      <c r="AH344" s="6"/>
      <c r="AI344" s="6"/>
      <c r="AJ344" s="6"/>
      <c r="AK344" s="6"/>
      <c r="AL344" s="6"/>
      <c r="AM344" s="6"/>
      <c r="AN344" s="6"/>
      <c r="AO344" s="6"/>
    </row>
    <row r="345" spans="1:41" ht="14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15"/>
      <c r="AC345" s="15"/>
      <c r="AD345" s="15"/>
      <c r="AE345" s="15"/>
      <c r="AF345" s="6"/>
      <c r="AG345" s="6"/>
      <c r="AH345" s="6"/>
      <c r="AI345" s="6"/>
      <c r="AJ345" s="6"/>
      <c r="AK345" s="6"/>
      <c r="AL345" s="6"/>
      <c r="AM345" s="6"/>
      <c r="AN345" s="6"/>
      <c r="AO345" s="6"/>
    </row>
    <row r="346" spans="1:41" ht="14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15"/>
      <c r="AC346" s="15"/>
      <c r="AD346" s="15"/>
      <c r="AE346" s="15"/>
      <c r="AF346" s="6"/>
      <c r="AG346" s="6"/>
      <c r="AH346" s="6"/>
      <c r="AI346" s="6"/>
      <c r="AJ346" s="6"/>
      <c r="AK346" s="6"/>
      <c r="AL346" s="6"/>
      <c r="AM346" s="6"/>
      <c r="AN346" s="6"/>
      <c r="AO346" s="6"/>
    </row>
    <row r="347" spans="1:41" ht="14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15"/>
      <c r="AC347" s="15"/>
      <c r="AD347" s="15"/>
      <c r="AE347" s="15"/>
      <c r="AF347" s="6"/>
      <c r="AG347" s="6"/>
      <c r="AH347" s="6"/>
      <c r="AI347" s="6"/>
      <c r="AJ347" s="6"/>
      <c r="AK347" s="6"/>
      <c r="AL347" s="6"/>
      <c r="AM347" s="6"/>
      <c r="AN347" s="6"/>
      <c r="AO347" s="6"/>
    </row>
    <row r="348" spans="1:41" ht="14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15"/>
      <c r="AC348" s="15"/>
      <c r="AD348" s="15"/>
      <c r="AE348" s="15"/>
      <c r="AF348" s="6"/>
      <c r="AG348" s="6"/>
      <c r="AH348" s="6"/>
      <c r="AI348" s="6"/>
      <c r="AJ348" s="6"/>
      <c r="AK348" s="6"/>
      <c r="AL348" s="6"/>
      <c r="AM348" s="6"/>
      <c r="AN348" s="6"/>
      <c r="AO348" s="6"/>
    </row>
    <row r="349" spans="1:41" ht="14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15"/>
      <c r="AC349" s="15"/>
      <c r="AD349" s="15"/>
      <c r="AE349" s="15"/>
      <c r="AF349" s="6"/>
      <c r="AG349" s="6"/>
      <c r="AH349" s="6"/>
      <c r="AI349" s="6"/>
      <c r="AJ349" s="6"/>
      <c r="AK349" s="6"/>
      <c r="AL349" s="6"/>
      <c r="AM349" s="6"/>
      <c r="AN349" s="6"/>
      <c r="AO349" s="6"/>
    </row>
    <row r="350" spans="1:41" ht="14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15"/>
      <c r="AC350" s="15"/>
      <c r="AD350" s="15"/>
      <c r="AE350" s="15"/>
      <c r="AF350" s="6"/>
      <c r="AG350" s="6"/>
      <c r="AH350" s="6"/>
      <c r="AI350" s="6"/>
      <c r="AJ350" s="6"/>
      <c r="AK350" s="6"/>
      <c r="AL350" s="6"/>
      <c r="AM350" s="6"/>
      <c r="AN350" s="6"/>
      <c r="AO350" s="6"/>
    </row>
    <row r="351" spans="1:41" ht="14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15"/>
      <c r="AC351" s="15"/>
      <c r="AD351" s="15"/>
      <c r="AE351" s="15"/>
      <c r="AF351" s="6"/>
      <c r="AG351" s="6"/>
      <c r="AH351" s="6"/>
      <c r="AI351" s="6"/>
      <c r="AJ351" s="6"/>
      <c r="AK351" s="6"/>
      <c r="AL351" s="6"/>
      <c r="AM351" s="6"/>
      <c r="AN351" s="6"/>
      <c r="AO351" s="6"/>
    </row>
    <row r="352" spans="1:41" ht="14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15"/>
      <c r="AC352" s="15"/>
      <c r="AD352" s="15"/>
      <c r="AE352" s="15"/>
      <c r="AF352" s="6"/>
      <c r="AG352" s="6"/>
      <c r="AH352" s="6"/>
      <c r="AI352" s="6"/>
      <c r="AJ352" s="6"/>
      <c r="AK352" s="6"/>
      <c r="AL352" s="6"/>
      <c r="AM352" s="6"/>
      <c r="AN352" s="6"/>
      <c r="AO352" s="6"/>
    </row>
    <row r="353" spans="1:41" ht="14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15"/>
      <c r="AC353" s="15"/>
      <c r="AD353" s="15"/>
      <c r="AE353" s="15"/>
      <c r="AF353" s="6"/>
      <c r="AG353" s="6"/>
      <c r="AH353" s="6"/>
      <c r="AI353" s="6"/>
      <c r="AJ353" s="6"/>
      <c r="AK353" s="6"/>
      <c r="AL353" s="6"/>
      <c r="AM353" s="6"/>
      <c r="AN353" s="6"/>
      <c r="AO353" s="6"/>
    </row>
    <row r="354" spans="1:41" ht="14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15"/>
      <c r="AC354" s="15"/>
      <c r="AD354" s="15"/>
      <c r="AE354" s="15"/>
      <c r="AF354" s="6"/>
      <c r="AG354" s="6"/>
      <c r="AH354" s="6"/>
      <c r="AI354" s="6"/>
      <c r="AJ354" s="6"/>
      <c r="AK354" s="6"/>
      <c r="AL354" s="6"/>
      <c r="AM354" s="6"/>
      <c r="AN354" s="6"/>
      <c r="AO354" s="6"/>
    </row>
    <row r="355" spans="1:41" ht="14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15"/>
      <c r="AC355" s="15"/>
      <c r="AD355" s="15"/>
      <c r="AE355" s="15"/>
      <c r="AF355" s="6"/>
      <c r="AG355" s="6"/>
      <c r="AH355" s="6"/>
      <c r="AI355" s="6"/>
      <c r="AJ355" s="6"/>
      <c r="AK355" s="6"/>
      <c r="AL355" s="6"/>
      <c r="AM355" s="6"/>
      <c r="AN355" s="6"/>
      <c r="AO355" s="6"/>
    </row>
    <row r="356" spans="1:41" ht="14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15"/>
      <c r="AC356" s="15"/>
      <c r="AD356" s="15"/>
      <c r="AE356" s="15"/>
      <c r="AF356" s="6"/>
      <c r="AG356" s="6"/>
      <c r="AH356" s="6"/>
      <c r="AI356" s="6"/>
      <c r="AJ356" s="6"/>
      <c r="AK356" s="6"/>
      <c r="AL356" s="6"/>
      <c r="AM356" s="6"/>
      <c r="AN356" s="6"/>
      <c r="AO356" s="6"/>
    </row>
    <row r="357" spans="1:41" ht="14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15"/>
      <c r="AC357" s="15"/>
      <c r="AD357" s="15"/>
      <c r="AE357" s="15"/>
      <c r="AF357" s="6"/>
      <c r="AG357" s="6"/>
      <c r="AH357" s="6"/>
      <c r="AI357" s="6"/>
      <c r="AJ357" s="6"/>
      <c r="AK357" s="6"/>
      <c r="AL357" s="6"/>
      <c r="AM357" s="6"/>
      <c r="AN357" s="6"/>
      <c r="AO357" s="6"/>
    </row>
    <row r="358" spans="1:41" ht="14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15"/>
      <c r="AC358" s="15"/>
      <c r="AD358" s="15"/>
      <c r="AE358" s="15"/>
      <c r="AF358" s="6"/>
      <c r="AG358" s="6"/>
      <c r="AH358" s="6"/>
      <c r="AI358" s="6"/>
      <c r="AJ358" s="6"/>
      <c r="AK358" s="6"/>
      <c r="AL358" s="6"/>
      <c r="AM358" s="6"/>
      <c r="AN358" s="6"/>
      <c r="AO358" s="6"/>
    </row>
    <row r="359" spans="1:41" ht="14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15"/>
      <c r="AC359" s="15"/>
      <c r="AD359" s="15"/>
      <c r="AE359" s="15"/>
      <c r="AF359" s="6"/>
      <c r="AG359" s="6"/>
      <c r="AH359" s="6"/>
      <c r="AI359" s="6"/>
      <c r="AJ359" s="6"/>
      <c r="AK359" s="6"/>
      <c r="AL359" s="6"/>
      <c r="AM359" s="6"/>
      <c r="AN359" s="6"/>
      <c r="AO359" s="6"/>
    </row>
    <row r="360" spans="1:41" ht="14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15"/>
      <c r="AC360" s="15"/>
      <c r="AD360" s="15"/>
      <c r="AE360" s="15"/>
      <c r="AF360" s="6"/>
      <c r="AG360" s="6"/>
      <c r="AH360" s="6"/>
      <c r="AI360" s="6"/>
      <c r="AJ360" s="6"/>
      <c r="AK360" s="6"/>
      <c r="AL360" s="6"/>
      <c r="AM360" s="6"/>
      <c r="AN360" s="6"/>
      <c r="AO360" s="6"/>
    </row>
    <row r="361" spans="1:41" ht="14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15"/>
      <c r="AC361" s="15"/>
      <c r="AD361" s="15"/>
      <c r="AE361" s="15"/>
      <c r="AF361" s="6"/>
      <c r="AG361" s="6"/>
      <c r="AH361" s="6"/>
      <c r="AI361" s="6"/>
      <c r="AJ361" s="6"/>
      <c r="AK361" s="6"/>
      <c r="AL361" s="6"/>
      <c r="AM361" s="6"/>
      <c r="AN361" s="6"/>
      <c r="AO361" s="6"/>
    </row>
    <row r="362" spans="1:41" ht="14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15"/>
      <c r="AC362" s="15"/>
      <c r="AD362" s="15"/>
      <c r="AE362" s="15"/>
      <c r="AF362" s="6"/>
      <c r="AG362" s="6"/>
      <c r="AH362" s="6"/>
      <c r="AI362" s="6"/>
      <c r="AJ362" s="6"/>
      <c r="AK362" s="6"/>
      <c r="AL362" s="6"/>
      <c r="AM362" s="6"/>
      <c r="AN362" s="6"/>
      <c r="AO362" s="6"/>
    </row>
    <row r="363" spans="1:41" ht="14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15"/>
      <c r="AC363" s="15"/>
      <c r="AD363" s="15"/>
      <c r="AE363" s="15"/>
      <c r="AF363" s="6"/>
      <c r="AG363" s="6"/>
      <c r="AH363" s="6"/>
      <c r="AI363" s="6"/>
      <c r="AJ363" s="6"/>
      <c r="AK363" s="6"/>
      <c r="AL363" s="6"/>
      <c r="AM363" s="6"/>
      <c r="AN363" s="6"/>
      <c r="AO363" s="6"/>
    </row>
    <row r="364" spans="1:41" ht="14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15"/>
      <c r="AC364" s="15"/>
      <c r="AD364" s="15"/>
      <c r="AE364" s="15"/>
      <c r="AF364" s="6"/>
      <c r="AG364" s="6"/>
      <c r="AH364" s="6"/>
      <c r="AI364" s="6"/>
      <c r="AJ364" s="6"/>
      <c r="AK364" s="6"/>
      <c r="AL364" s="6"/>
      <c r="AM364" s="6"/>
      <c r="AN364" s="6"/>
      <c r="AO364" s="6"/>
    </row>
    <row r="365" spans="1:41" ht="14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15"/>
      <c r="AC365" s="15"/>
      <c r="AD365" s="15"/>
      <c r="AE365" s="15"/>
      <c r="AF365" s="6"/>
      <c r="AG365" s="6"/>
      <c r="AH365" s="6"/>
      <c r="AI365" s="6"/>
      <c r="AJ365" s="6"/>
      <c r="AK365" s="6"/>
      <c r="AL365" s="6"/>
      <c r="AM365" s="6"/>
      <c r="AN365" s="6"/>
      <c r="AO365" s="6"/>
    </row>
    <row r="366" spans="1:41" ht="14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15"/>
      <c r="AC366" s="15"/>
      <c r="AD366" s="15"/>
      <c r="AE366" s="15"/>
      <c r="AF366" s="6"/>
      <c r="AG366" s="6"/>
      <c r="AH366" s="6"/>
      <c r="AI366" s="6"/>
      <c r="AJ366" s="6"/>
      <c r="AK366" s="6"/>
      <c r="AL366" s="6"/>
      <c r="AM366" s="6"/>
      <c r="AN366" s="6"/>
      <c r="AO366" s="6"/>
    </row>
    <row r="367" spans="1:41" ht="14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15"/>
      <c r="AC367" s="15"/>
      <c r="AD367" s="15"/>
      <c r="AE367" s="15"/>
      <c r="AF367" s="6"/>
      <c r="AG367" s="6"/>
      <c r="AH367" s="6"/>
      <c r="AI367" s="6"/>
      <c r="AJ367" s="6"/>
      <c r="AK367" s="6"/>
      <c r="AL367" s="6"/>
      <c r="AM367" s="6"/>
      <c r="AN367" s="6"/>
      <c r="AO367" s="6"/>
    </row>
    <row r="368" spans="1:41" ht="14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15"/>
      <c r="AC368" s="15"/>
      <c r="AD368" s="15"/>
      <c r="AE368" s="15"/>
      <c r="AF368" s="6"/>
      <c r="AG368" s="6"/>
      <c r="AH368" s="6"/>
      <c r="AI368" s="6"/>
      <c r="AJ368" s="6"/>
      <c r="AK368" s="6"/>
      <c r="AL368" s="6"/>
      <c r="AM368" s="6"/>
      <c r="AN368" s="6"/>
      <c r="AO368" s="6"/>
    </row>
    <row r="369" spans="1:41" ht="14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15"/>
      <c r="AC369" s="15"/>
      <c r="AD369" s="15"/>
      <c r="AE369" s="15"/>
      <c r="AF369" s="6"/>
      <c r="AG369" s="6"/>
      <c r="AH369" s="6"/>
      <c r="AI369" s="6"/>
      <c r="AJ369" s="6"/>
      <c r="AK369" s="6"/>
      <c r="AL369" s="6"/>
      <c r="AM369" s="6"/>
      <c r="AN369" s="6"/>
      <c r="AO369" s="6"/>
    </row>
    <row r="370" spans="1:41" ht="14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15"/>
      <c r="AC370" s="15"/>
      <c r="AD370" s="15"/>
      <c r="AE370" s="15"/>
      <c r="AF370" s="6"/>
      <c r="AG370" s="6"/>
      <c r="AH370" s="6"/>
      <c r="AI370" s="6"/>
      <c r="AJ370" s="6"/>
      <c r="AK370" s="6"/>
      <c r="AL370" s="6"/>
      <c r="AM370" s="6"/>
      <c r="AN370" s="6"/>
      <c r="AO370" s="6"/>
    </row>
    <row r="371" spans="1:41" ht="14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15"/>
      <c r="AC371" s="15"/>
      <c r="AD371" s="15"/>
      <c r="AE371" s="15"/>
      <c r="AF371" s="6"/>
      <c r="AG371" s="6"/>
      <c r="AH371" s="6"/>
      <c r="AI371" s="6"/>
      <c r="AJ371" s="6"/>
      <c r="AK371" s="6"/>
      <c r="AL371" s="6"/>
      <c r="AM371" s="6"/>
      <c r="AN371" s="6"/>
      <c r="AO371" s="6"/>
    </row>
    <row r="372" spans="1:41" ht="14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15"/>
      <c r="AC372" s="15"/>
      <c r="AD372" s="15"/>
      <c r="AE372" s="15"/>
      <c r="AF372" s="6"/>
      <c r="AG372" s="6"/>
      <c r="AH372" s="6"/>
      <c r="AI372" s="6"/>
      <c r="AJ372" s="6"/>
      <c r="AK372" s="6"/>
      <c r="AL372" s="6"/>
      <c r="AM372" s="6"/>
      <c r="AN372" s="6"/>
      <c r="AO372" s="6"/>
    </row>
    <row r="373" spans="1:41" ht="14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15"/>
      <c r="AC373" s="15"/>
      <c r="AD373" s="15"/>
      <c r="AE373" s="15"/>
      <c r="AF373" s="6"/>
      <c r="AG373" s="6"/>
      <c r="AH373" s="6"/>
      <c r="AI373" s="6"/>
      <c r="AJ373" s="6"/>
      <c r="AK373" s="6"/>
      <c r="AL373" s="6"/>
      <c r="AM373" s="6"/>
      <c r="AN373" s="6"/>
      <c r="AO373" s="6"/>
    </row>
    <row r="374" spans="1:41" ht="14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15"/>
      <c r="AC374" s="15"/>
      <c r="AD374" s="15"/>
      <c r="AE374" s="15"/>
      <c r="AF374" s="6"/>
      <c r="AG374" s="6"/>
      <c r="AH374" s="6"/>
      <c r="AI374" s="6"/>
      <c r="AJ374" s="6"/>
      <c r="AK374" s="6"/>
      <c r="AL374" s="6"/>
      <c r="AM374" s="6"/>
      <c r="AN374" s="6"/>
      <c r="AO374" s="6"/>
    </row>
    <row r="375" spans="1:41" ht="14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15"/>
      <c r="AC375" s="15"/>
      <c r="AD375" s="15"/>
      <c r="AE375" s="15"/>
      <c r="AF375" s="6"/>
      <c r="AG375" s="6"/>
      <c r="AH375" s="6"/>
      <c r="AI375" s="6"/>
      <c r="AJ375" s="6"/>
      <c r="AK375" s="6"/>
      <c r="AL375" s="6"/>
      <c r="AM375" s="6"/>
      <c r="AN375" s="6"/>
      <c r="AO375" s="6"/>
    </row>
    <row r="376" spans="1:41" ht="14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15"/>
      <c r="AC376" s="15"/>
      <c r="AD376" s="15"/>
      <c r="AE376" s="15"/>
      <c r="AF376" s="6"/>
      <c r="AG376" s="6"/>
      <c r="AH376" s="6"/>
      <c r="AI376" s="6"/>
      <c r="AJ376" s="6"/>
      <c r="AK376" s="6"/>
      <c r="AL376" s="6"/>
      <c r="AM376" s="6"/>
      <c r="AN376" s="6"/>
      <c r="AO376" s="6"/>
    </row>
    <row r="377" spans="1:41" ht="14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15"/>
      <c r="AC377" s="15"/>
      <c r="AD377" s="15"/>
      <c r="AE377" s="15"/>
      <c r="AF377" s="6"/>
      <c r="AG377" s="6"/>
      <c r="AH377" s="6"/>
      <c r="AI377" s="6"/>
      <c r="AJ377" s="6"/>
      <c r="AK377" s="6"/>
      <c r="AL377" s="6"/>
      <c r="AM377" s="6"/>
      <c r="AN377" s="6"/>
      <c r="AO377" s="6"/>
    </row>
    <row r="378" spans="1:41" ht="14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15"/>
      <c r="AC378" s="15"/>
      <c r="AD378" s="15"/>
      <c r="AE378" s="15"/>
      <c r="AF378" s="6"/>
      <c r="AG378" s="6"/>
      <c r="AH378" s="6"/>
      <c r="AI378" s="6"/>
      <c r="AJ378" s="6"/>
      <c r="AK378" s="6"/>
      <c r="AL378" s="6"/>
      <c r="AM378" s="6"/>
      <c r="AN378" s="6"/>
      <c r="AO378" s="6"/>
    </row>
    <row r="379" spans="1:41" ht="14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15"/>
      <c r="AC379" s="15"/>
      <c r="AD379" s="15"/>
      <c r="AE379" s="15"/>
      <c r="AF379" s="6"/>
      <c r="AG379" s="6"/>
      <c r="AH379" s="6"/>
      <c r="AI379" s="6"/>
      <c r="AJ379" s="6"/>
      <c r="AK379" s="6"/>
      <c r="AL379" s="6"/>
      <c r="AM379" s="6"/>
      <c r="AN379" s="6"/>
      <c r="AO379" s="6"/>
    </row>
    <row r="380" spans="1:41" ht="14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15"/>
      <c r="AC380" s="15"/>
      <c r="AD380" s="15"/>
      <c r="AE380" s="15"/>
      <c r="AF380" s="6"/>
      <c r="AG380" s="6"/>
      <c r="AH380" s="6"/>
      <c r="AI380" s="6"/>
      <c r="AJ380" s="6"/>
      <c r="AK380" s="6"/>
      <c r="AL380" s="6"/>
      <c r="AM380" s="6"/>
      <c r="AN380" s="6"/>
      <c r="AO380" s="6"/>
    </row>
    <row r="381" spans="1:41" ht="14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15"/>
      <c r="AC381" s="15"/>
      <c r="AD381" s="15"/>
      <c r="AE381" s="15"/>
      <c r="AF381" s="6"/>
      <c r="AG381" s="6"/>
      <c r="AH381" s="6"/>
      <c r="AI381" s="6"/>
      <c r="AJ381" s="6"/>
      <c r="AK381" s="6"/>
      <c r="AL381" s="6"/>
      <c r="AM381" s="6"/>
      <c r="AN381" s="6"/>
      <c r="AO381" s="6"/>
    </row>
    <row r="382" spans="1:41" ht="14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15"/>
      <c r="AC382" s="15"/>
      <c r="AD382" s="15"/>
      <c r="AE382" s="15"/>
      <c r="AF382" s="6"/>
      <c r="AG382" s="6"/>
      <c r="AH382" s="6"/>
      <c r="AI382" s="6"/>
      <c r="AJ382" s="6"/>
      <c r="AK382" s="6"/>
      <c r="AL382" s="6"/>
      <c r="AM382" s="6"/>
      <c r="AN382" s="6"/>
      <c r="AO382" s="6"/>
    </row>
    <row r="383" spans="1:41" ht="14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15"/>
      <c r="AC383" s="15"/>
      <c r="AD383" s="15"/>
      <c r="AE383" s="15"/>
      <c r="AF383" s="6"/>
      <c r="AG383" s="6"/>
      <c r="AH383" s="6"/>
      <c r="AI383" s="6"/>
      <c r="AJ383" s="6"/>
      <c r="AK383" s="6"/>
      <c r="AL383" s="6"/>
      <c r="AM383" s="6"/>
      <c r="AN383" s="6"/>
      <c r="AO383" s="6"/>
    </row>
    <row r="384" spans="1:41" ht="14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15"/>
      <c r="AC384" s="15"/>
      <c r="AD384" s="15"/>
      <c r="AE384" s="15"/>
      <c r="AF384" s="6"/>
      <c r="AG384" s="6"/>
      <c r="AH384" s="6"/>
      <c r="AI384" s="6"/>
      <c r="AJ384" s="6"/>
      <c r="AK384" s="6"/>
      <c r="AL384" s="6"/>
      <c r="AM384" s="6"/>
      <c r="AN384" s="6"/>
      <c r="AO384" s="6"/>
    </row>
    <row r="385" spans="1:41" ht="14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15"/>
      <c r="AC385" s="15"/>
      <c r="AD385" s="15"/>
      <c r="AE385" s="15"/>
      <c r="AF385" s="6"/>
      <c r="AG385" s="6"/>
      <c r="AH385" s="6"/>
      <c r="AI385" s="6"/>
      <c r="AJ385" s="6"/>
      <c r="AK385" s="6"/>
      <c r="AL385" s="6"/>
      <c r="AM385" s="6"/>
      <c r="AN385" s="6"/>
      <c r="AO385" s="6"/>
    </row>
    <row r="386" spans="1:41" ht="14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15"/>
      <c r="AC386" s="15"/>
      <c r="AD386" s="15"/>
      <c r="AE386" s="15"/>
      <c r="AF386" s="6"/>
      <c r="AG386" s="6"/>
      <c r="AH386" s="6"/>
      <c r="AI386" s="6"/>
      <c r="AJ386" s="6"/>
      <c r="AK386" s="6"/>
      <c r="AL386" s="6"/>
      <c r="AM386" s="6"/>
      <c r="AN386" s="6"/>
      <c r="AO386" s="6"/>
    </row>
    <row r="387" spans="1:41" ht="14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15"/>
      <c r="AC387" s="15"/>
      <c r="AD387" s="15"/>
      <c r="AE387" s="15"/>
      <c r="AF387" s="6"/>
      <c r="AG387" s="6"/>
      <c r="AH387" s="6"/>
      <c r="AI387" s="6"/>
      <c r="AJ387" s="6"/>
      <c r="AK387" s="6"/>
      <c r="AL387" s="6"/>
      <c r="AM387" s="6"/>
      <c r="AN387" s="6"/>
      <c r="AO387" s="6"/>
    </row>
    <row r="388" spans="1:41" ht="14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15"/>
      <c r="AC388" s="15"/>
      <c r="AD388" s="15"/>
      <c r="AE388" s="15"/>
      <c r="AF388" s="6"/>
      <c r="AG388" s="6"/>
      <c r="AH388" s="6"/>
      <c r="AI388" s="6"/>
      <c r="AJ388" s="6"/>
      <c r="AK388" s="6"/>
      <c r="AL388" s="6"/>
      <c r="AM388" s="6"/>
      <c r="AN388" s="6"/>
      <c r="AO388" s="6"/>
    </row>
    <row r="389" spans="1:41" ht="14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15"/>
      <c r="AC389" s="15"/>
      <c r="AD389" s="15"/>
      <c r="AE389" s="15"/>
      <c r="AF389" s="6"/>
      <c r="AG389" s="6"/>
      <c r="AH389" s="6"/>
      <c r="AI389" s="6"/>
      <c r="AJ389" s="6"/>
      <c r="AK389" s="6"/>
      <c r="AL389" s="6"/>
      <c r="AM389" s="6"/>
      <c r="AN389" s="6"/>
      <c r="AO389" s="6"/>
    </row>
    <row r="390" spans="1:41" ht="14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15"/>
      <c r="AC390" s="15"/>
      <c r="AD390" s="15"/>
      <c r="AE390" s="15"/>
      <c r="AF390" s="6"/>
      <c r="AG390" s="6"/>
      <c r="AH390" s="6"/>
      <c r="AI390" s="6"/>
      <c r="AJ390" s="6"/>
      <c r="AK390" s="6"/>
      <c r="AL390" s="6"/>
      <c r="AM390" s="6"/>
      <c r="AN390" s="6"/>
      <c r="AO390" s="6"/>
    </row>
    <row r="391" spans="1:41" ht="14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15"/>
      <c r="AC391" s="15"/>
      <c r="AD391" s="15"/>
      <c r="AE391" s="15"/>
      <c r="AF391" s="6"/>
      <c r="AG391" s="6"/>
      <c r="AH391" s="6"/>
      <c r="AI391" s="6"/>
      <c r="AJ391" s="6"/>
      <c r="AK391" s="6"/>
      <c r="AL391" s="6"/>
      <c r="AM391" s="6"/>
      <c r="AN391" s="6"/>
      <c r="AO391" s="6"/>
    </row>
    <row r="392" spans="1:41" ht="14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15"/>
      <c r="AC392" s="15"/>
      <c r="AD392" s="15"/>
      <c r="AE392" s="15"/>
      <c r="AF392" s="6"/>
      <c r="AG392" s="6"/>
      <c r="AH392" s="6"/>
      <c r="AI392" s="6"/>
      <c r="AJ392" s="6"/>
      <c r="AK392" s="6"/>
      <c r="AL392" s="6"/>
      <c r="AM392" s="6"/>
      <c r="AN392" s="6"/>
      <c r="AO392" s="6"/>
    </row>
    <row r="393" spans="1:41" ht="14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15"/>
      <c r="AC393" s="15"/>
      <c r="AD393" s="15"/>
      <c r="AE393" s="15"/>
      <c r="AF393" s="6"/>
      <c r="AG393" s="6"/>
      <c r="AH393" s="6"/>
      <c r="AI393" s="6"/>
      <c r="AJ393" s="6"/>
      <c r="AK393" s="6"/>
      <c r="AL393" s="6"/>
      <c r="AM393" s="6"/>
      <c r="AN393" s="6"/>
      <c r="AO393" s="6"/>
    </row>
    <row r="394" spans="1:41" ht="14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15"/>
      <c r="AC394" s="15"/>
      <c r="AD394" s="15"/>
      <c r="AE394" s="15"/>
      <c r="AF394" s="6"/>
      <c r="AG394" s="6"/>
      <c r="AH394" s="6"/>
      <c r="AI394" s="6"/>
      <c r="AJ394" s="6"/>
      <c r="AK394" s="6"/>
      <c r="AL394" s="6"/>
      <c r="AM394" s="6"/>
      <c r="AN394" s="6"/>
      <c r="AO394" s="6"/>
    </row>
    <row r="395" spans="1:41" ht="14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15"/>
      <c r="AC395" s="15"/>
      <c r="AD395" s="15"/>
      <c r="AE395" s="15"/>
      <c r="AF395" s="6"/>
      <c r="AG395" s="6"/>
      <c r="AH395" s="6"/>
      <c r="AI395" s="6"/>
      <c r="AJ395" s="6"/>
      <c r="AK395" s="6"/>
      <c r="AL395" s="6"/>
      <c r="AM395" s="6"/>
      <c r="AN395" s="6"/>
      <c r="AO395" s="6"/>
    </row>
    <row r="396" spans="1:41" ht="14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15"/>
      <c r="AC396" s="15"/>
      <c r="AD396" s="15"/>
      <c r="AE396" s="15"/>
      <c r="AF396" s="6"/>
      <c r="AG396" s="6"/>
      <c r="AH396" s="6"/>
      <c r="AI396" s="6"/>
      <c r="AJ396" s="6"/>
      <c r="AK396" s="6"/>
      <c r="AL396" s="6"/>
      <c r="AM396" s="6"/>
      <c r="AN396" s="6"/>
      <c r="AO396" s="6"/>
    </row>
    <row r="397" spans="1:41" ht="14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15"/>
      <c r="AC397" s="15"/>
      <c r="AD397" s="15"/>
      <c r="AE397" s="15"/>
      <c r="AF397" s="6"/>
      <c r="AG397" s="6"/>
      <c r="AH397" s="6"/>
      <c r="AI397" s="6"/>
      <c r="AJ397" s="6"/>
      <c r="AK397" s="6"/>
      <c r="AL397" s="6"/>
      <c r="AM397" s="6"/>
      <c r="AN397" s="6"/>
      <c r="AO397" s="6"/>
    </row>
    <row r="398" spans="1:41" ht="14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15"/>
      <c r="AC398" s="15"/>
      <c r="AD398" s="15"/>
      <c r="AE398" s="15"/>
      <c r="AF398" s="6"/>
      <c r="AG398" s="6"/>
      <c r="AH398" s="6"/>
      <c r="AI398" s="6"/>
      <c r="AJ398" s="6"/>
      <c r="AK398" s="6"/>
      <c r="AL398" s="6"/>
      <c r="AM398" s="6"/>
      <c r="AN398" s="6"/>
      <c r="AO398" s="6"/>
    </row>
    <row r="399" spans="1:41" ht="14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15"/>
      <c r="AC399" s="15"/>
      <c r="AD399" s="15"/>
      <c r="AE399" s="15"/>
      <c r="AF399" s="6"/>
      <c r="AG399" s="6"/>
      <c r="AH399" s="6"/>
      <c r="AI399" s="6"/>
      <c r="AJ399" s="6"/>
      <c r="AK399" s="6"/>
      <c r="AL399" s="6"/>
      <c r="AM399" s="6"/>
      <c r="AN399" s="6"/>
      <c r="AO399" s="6"/>
    </row>
    <row r="400" spans="1:41" ht="14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15"/>
      <c r="AC400" s="15"/>
      <c r="AD400" s="15"/>
      <c r="AE400" s="15"/>
      <c r="AF400" s="6"/>
      <c r="AG400" s="6"/>
      <c r="AH400" s="6"/>
      <c r="AI400" s="6"/>
      <c r="AJ400" s="6"/>
      <c r="AK400" s="6"/>
      <c r="AL400" s="6"/>
      <c r="AM400" s="6"/>
      <c r="AN400" s="6"/>
      <c r="AO400" s="6"/>
    </row>
    <row r="401" spans="1:41" ht="14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15"/>
      <c r="AC401" s="15"/>
      <c r="AD401" s="15"/>
      <c r="AE401" s="15"/>
      <c r="AF401" s="6"/>
      <c r="AG401" s="6"/>
      <c r="AH401" s="6"/>
      <c r="AI401" s="6"/>
      <c r="AJ401" s="6"/>
      <c r="AK401" s="6"/>
      <c r="AL401" s="6"/>
      <c r="AM401" s="6"/>
      <c r="AN401" s="6"/>
      <c r="AO401" s="6"/>
    </row>
    <row r="402" spans="1:41" ht="14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15"/>
      <c r="AC402" s="15"/>
      <c r="AD402" s="15"/>
      <c r="AE402" s="15"/>
      <c r="AF402" s="6"/>
      <c r="AG402" s="6"/>
      <c r="AH402" s="6"/>
      <c r="AI402" s="6"/>
      <c r="AJ402" s="6"/>
      <c r="AK402" s="6"/>
      <c r="AL402" s="6"/>
      <c r="AM402" s="6"/>
      <c r="AN402" s="6"/>
      <c r="AO402" s="6"/>
    </row>
    <row r="403" spans="1:41" ht="14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15"/>
      <c r="AC403" s="15"/>
      <c r="AD403" s="15"/>
      <c r="AE403" s="15"/>
      <c r="AF403" s="6"/>
      <c r="AG403" s="6"/>
      <c r="AH403" s="6"/>
      <c r="AI403" s="6"/>
      <c r="AJ403" s="6"/>
      <c r="AK403" s="6"/>
      <c r="AL403" s="6"/>
      <c r="AM403" s="6"/>
      <c r="AN403" s="6"/>
      <c r="AO403" s="6"/>
    </row>
    <row r="404" spans="1:41" ht="14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15"/>
      <c r="AC404" s="15"/>
      <c r="AD404" s="15"/>
      <c r="AE404" s="15"/>
      <c r="AF404" s="6"/>
      <c r="AG404" s="6"/>
      <c r="AH404" s="6"/>
      <c r="AI404" s="6"/>
      <c r="AJ404" s="6"/>
      <c r="AK404" s="6"/>
      <c r="AL404" s="6"/>
      <c r="AM404" s="6"/>
      <c r="AN404" s="6"/>
      <c r="AO404" s="6"/>
    </row>
    <row r="405" spans="1:41" ht="14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15"/>
      <c r="AC405" s="15"/>
      <c r="AD405" s="15"/>
      <c r="AE405" s="15"/>
      <c r="AF405" s="6"/>
      <c r="AG405" s="6"/>
      <c r="AH405" s="6"/>
      <c r="AI405" s="6"/>
      <c r="AJ405" s="6"/>
      <c r="AK405" s="6"/>
      <c r="AL405" s="6"/>
      <c r="AM405" s="6"/>
      <c r="AN405" s="6"/>
      <c r="AO405" s="6"/>
    </row>
    <row r="406" spans="1:41" ht="14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15"/>
      <c r="AC406" s="15"/>
      <c r="AD406" s="15"/>
      <c r="AE406" s="15"/>
      <c r="AF406" s="6"/>
      <c r="AG406" s="6"/>
      <c r="AH406" s="6"/>
      <c r="AI406" s="6"/>
      <c r="AJ406" s="6"/>
      <c r="AK406" s="6"/>
      <c r="AL406" s="6"/>
      <c r="AM406" s="6"/>
      <c r="AN406" s="6"/>
      <c r="AO406" s="6"/>
    </row>
    <row r="407" spans="1:41" ht="14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15"/>
      <c r="AC407" s="15"/>
      <c r="AD407" s="15"/>
      <c r="AE407" s="15"/>
      <c r="AF407" s="6"/>
      <c r="AG407" s="6"/>
      <c r="AH407" s="6"/>
      <c r="AI407" s="6"/>
      <c r="AJ407" s="6"/>
      <c r="AK407" s="6"/>
      <c r="AL407" s="6"/>
      <c r="AM407" s="6"/>
      <c r="AN407" s="6"/>
      <c r="AO407" s="6"/>
    </row>
    <row r="408" spans="1:41" ht="14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15"/>
      <c r="AC408" s="15"/>
      <c r="AD408" s="15"/>
      <c r="AE408" s="15"/>
      <c r="AF408" s="6"/>
      <c r="AG408" s="6"/>
      <c r="AH408" s="6"/>
      <c r="AI408" s="6"/>
      <c r="AJ408" s="6"/>
      <c r="AK408" s="6"/>
      <c r="AL408" s="6"/>
      <c r="AM408" s="6"/>
      <c r="AN408" s="6"/>
      <c r="AO408" s="6"/>
    </row>
    <row r="409" spans="1:41" ht="14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15"/>
      <c r="AC409" s="15"/>
      <c r="AD409" s="15"/>
      <c r="AE409" s="15"/>
      <c r="AF409" s="6"/>
      <c r="AG409" s="6"/>
      <c r="AH409" s="6"/>
      <c r="AI409" s="6"/>
      <c r="AJ409" s="6"/>
      <c r="AK409" s="6"/>
      <c r="AL409" s="6"/>
      <c r="AM409" s="6"/>
      <c r="AN409" s="6"/>
      <c r="AO409" s="6"/>
    </row>
    <row r="410" spans="1:41" ht="14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15"/>
      <c r="AC410" s="15"/>
      <c r="AD410" s="15"/>
      <c r="AE410" s="15"/>
      <c r="AF410" s="6"/>
      <c r="AG410" s="6"/>
      <c r="AH410" s="6"/>
      <c r="AI410" s="6"/>
      <c r="AJ410" s="6"/>
      <c r="AK410" s="6"/>
      <c r="AL410" s="6"/>
      <c r="AM410" s="6"/>
      <c r="AN410" s="6"/>
      <c r="AO410" s="6"/>
    </row>
    <row r="411" spans="1:41" ht="14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15"/>
      <c r="AC411" s="15"/>
      <c r="AD411" s="15"/>
      <c r="AE411" s="15"/>
      <c r="AF411" s="6"/>
      <c r="AG411" s="6"/>
      <c r="AH411" s="6"/>
      <c r="AI411" s="6"/>
      <c r="AJ411" s="6"/>
      <c r="AK411" s="6"/>
      <c r="AL411" s="6"/>
      <c r="AM411" s="6"/>
      <c r="AN411" s="6"/>
      <c r="AO411" s="6"/>
    </row>
    <row r="412" spans="1:41" ht="14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15"/>
      <c r="AC412" s="15"/>
      <c r="AD412" s="15"/>
      <c r="AE412" s="15"/>
      <c r="AF412" s="6"/>
      <c r="AG412" s="6"/>
      <c r="AH412" s="6"/>
      <c r="AI412" s="6"/>
      <c r="AJ412" s="6"/>
      <c r="AK412" s="6"/>
      <c r="AL412" s="6"/>
      <c r="AM412" s="6"/>
      <c r="AN412" s="6"/>
      <c r="AO412" s="6"/>
    </row>
    <row r="413" spans="1:41" ht="14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15"/>
      <c r="AC413" s="15"/>
      <c r="AD413" s="15"/>
      <c r="AE413" s="15"/>
      <c r="AF413" s="6"/>
      <c r="AG413" s="6"/>
      <c r="AH413" s="6"/>
      <c r="AI413" s="6"/>
      <c r="AJ413" s="6"/>
      <c r="AK413" s="6"/>
      <c r="AL413" s="6"/>
      <c r="AM413" s="6"/>
      <c r="AN413" s="6"/>
      <c r="AO413" s="6"/>
    </row>
    <row r="414" spans="1:41" ht="14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15"/>
      <c r="AC414" s="15"/>
      <c r="AD414" s="15"/>
      <c r="AE414" s="15"/>
      <c r="AF414" s="6"/>
      <c r="AG414" s="6"/>
      <c r="AH414" s="6"/>
      <c r="AI414" s="6"/>
      <c r="AJ414" s="6"/>
      <c r="AK414" s="6"/>
      <c r="AL414" s="6"/>
      <c r="AM414" s="6"/>
      <c r="AN414" s="6"/>
      <c r="AO414" s="6"/>
    </row>
    <row r="415" spans="1:41" ht="14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15"/>
      <c r="AC415" s="15"/>
      <c r="AD415" s="15"/>
      <c r="AE415" s="15"/>
      <c r="AF415" s="6"/>
      <c r="AG415" s="6"/>
      <c r="AH415" s="6"/>
      <c r="AI415" s="6"/>
      <c r="AJ415" s="6"/>
      <c r="AK415" s="6"/>
      <c r="AL415" s="6"/>
      <c r="AM415" s="6"/>
      <c r="AN415" s="6"/>
      <c r="AO415" s="6"/>
    </row>
    <row r="416" spans="1:41" ht="14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15"/>
      <c r="AC416" s="15"/>
      <c r="AD416" s="15"/>
      <c r="AE416" s="15"/>
      <c r="AF416" s="6"/>
      <c r="AG416" s="6"/>
      <c r="AH416" s="6"/>
      <c r="AI416" s="6"/>
      <c r="AJ416" s="6"/>
      <c r="AK416" s="6"/>
      <c r="AL416" s="6"/>
      <c r="AM416" s="6"/>
      <c r="AN416" s="6"/>
      <c r="AO416" s="6"/>
    </row>
    <row r="417" spans="1:41" ht="14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15"/>
      <c r="AC417" s="15"/>
      <c r="AD417" s="15"/>
      <c r="AE417" s="15"/>
      <c r="AF417" s="6"/>
      <c r="AG417" s="6"/>
      <c r="AH417" s="6"/>
      <c r="AI417" s="6"/>
      <c r="AJ417" s="6"/>
      <c r="AK417" s="6"/>
      <c r="AL417" s="6"/>
      <c r="AM417" s="6"/>
      <c r="AN417" s="6"/>
      <c r="AO417" s="6"/>
    </row>
    <row r="418" spans="1:41" ht="14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15"/>
      <c r="AC418" s="15"/>
      <c r="AD418" s="15"/>
      <c r="AE418" s="15"/>
      <c r="AF418" s="6"/>
      <c r="AG418" s="6"/>
      <c r="AH418" s="6"/>
      <c r="AI418" s="6"/>
      <c r="AJ418" s="6"/>
      <c r="AK418" s="6"/>
      <c r="AL418" s="6"/>
      <c r="AM418" s="6"/>
      <c r="AN418" s="6"/>
      <c r="AO418" s="6"/>
    </row>
    <row r="419" spans="1:41" ht="14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15"/>
      <c r="AC419" s="15"/>
      <c r="AD419" s="15"/>
      <c r="AE419" s="15"/>
      <c r="AF419" s="6"/>
      <c r="AG419" s="6"/>
      <c r="AH419" s="6"/>
      <c r="AI419" s="6"/>
      <c r="AJ419" s="6"/>
      <c r="AK419" s="6"/>
      <c r="AL419" s="6"/>
      <c r="AM419" s="6"/>
      <c r="AN419" s="6"/>
      <c r="AO419" s="6"/>
    </row>
    <row r="420" spans="1:41" ht="14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15"/>
      <c r="AC420" s="15"/>
      <c r="AD420" s="15"/>
      <c r="AE420" s="15"/>
      <c r="AF420" s="6"/>
      <c r="AG420" s="6"/>
      <c r="AH420" s="6"/>
      <c r="AI420" s="6"/>
      <c r="AJ420" s="6"/>
      <c r="AK420" s="6"/>
      <c r="AL420" s="6"/>
      <c r="AM420" s="6"/>
      <c r="AN420" s="6"/>
      <c r="AO420" s="6"/>
    </row>
    <row r="421" spans="1:41" ht="14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15"/>
      <c r="AC421" s="15"/>
      <c r="AD421" s="15"/>
      <c r="AE421" s="15"/>
      <c r="AF421" s="6"/>
      <c r="AG421" s="6"/>
      <c r="AH421" s="6"/>
      <c r="AI421" s="6"/>
      <c r="AJ421" s="6"/>
      <c r="AK421" s="6"/>
      <c r="AL421" s="6"/>
      <c r="AM421" s="6"/>
      <c r="AN421" s="6"/>
      <c r="AO421" s="6"/>
    </row>
    <row r="422" spans="1:41" ht="14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15"/>
      <c r="AC422" s="15"/>
      <c r="AD422" s="15"/>
      <c r="AE422" s="15"/>
      <c r="AF422" s="6"/>
      <c r="AG422" s="6"/>
      <c r="AH422" s="6"/>
      <c r="AI422" s="6"/>
      <c r="AJ422" s="6"/>
      <c r="AK422" s="6"/>
      <c r="AL422" s="6"/>
      <c r="AM422" s="6"/>
      <c r="AN422" s="6"/>
      <c r="AO422" s="6"/>
    </row>
    <row r="423" spans="1:41" ht="14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15"/>
      <c r="AC423" s="15"/>
      <c r="AD423" s="15"/>
      <c r="AE423" s="15"/>
      <c r="AF423" s="6"/>
      <c r="AG423" s="6"/>
      <c r="AH423" s="6"/>
      <c r="AI423" s="6"/>
      <c r="AJ423" s="6"/>
      <c r="AK423" s="6"/>
      <c r="AL423" s="6"/>
      <c r="AM423" s="6"/>
      <c r="AN423" s="6"/>
      <c r="AO423" s="6"/>
    </row>
    <row r="424" spans="1:41" ht="14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15"/>
      <c r="AC424" s="15"/>
      <c r="AD424" s="15"/>
      <c r="AE424" s="15"/>
      <c r="AF424" s="6"/>
      <c r="AG424" s="6"/>
      <c r="AH424" s="6"/>
      <c r="AI424" s="6"/>
      <c r="AJ424" s="6"/>
      <c r="AK424" s="6"/>
      <c r="AL424" s="6"/>
      <c r="AM424" s="6"/>
      <c r="AN424" s="6"/>
      <c r="AO424" s="6"/>
    </row>
    <row r="425" spans="1:41" ht="14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15"/>
      <c r="AC425" s="15"/>
      <c r="AD425" s="15"/>
      <c r="AE425" s="15"/>
      <c r="AF425" s="6"/>
      <c r="AG425" s="6"/>
      <c r="AH425" s="6"/>
      <c r="AI425" s="6"/>
      <c r="AJ425" s="6"/>
      <c r="AK425" s="6"/>
      <c r="AL425" s="6"/>
      <c r="AM425" s="6"/>
      <c r="AN425" s="6"/>
      <c r="AO425" s="6"/>
    </row>
    <row r="426" spans="1:41" ht="14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15"/>
      <c r="AC426" s="15"/>
      <c r="AD426" s="15"/>
      <c r="AE426" s="15"/>
      <c r="AF426" s="6"/>
      <c r="AG426" s="6"/>
      <c r="AH426" s="6"/>
      <c r="AI426" s="6"/>
      <c r="AJ426" s="6"/>
      <c r="AK426" s="6"/>
      <c r="AL426" s="6"/>
      <c r="AM426" s="6"/>
      <c r="AN426" s="6"/>
      <c r="AO426" s="6"/>
    </row>
    <row r="427" spans="1:41" ht="14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15"/>
      <c r="AC427" s="15"/>
      <c r="AD427" s="15"/>
      <c r="AE427" s="15"/>
      <c r="AF427" s="6"/>
      <c r="AG427" s="6"/>
      <c r="AH427" s="6"/>
      <c r="AI427" s="6"/>
      <c r="AJ427" s="6"/>
      <c r="AK427" s="6"/>
      <c r="AL427" s="6"/>
      <c r="AM427" s="6"/>
      <c r="AN427" s="6"/>
      <c r="AO427" s="6"/>
    </row>
    <row r="428" spans="1:41" ht="14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15"/>
      <c r="AC428" s="15"/>
      <c r="AD428" s="15"/>
      <c r="AE428" s="15"/>
      <c r="AF428" s="6"/>
      <c r="AG428" s="6"/>
      <c r="AH428" s="6"/>
      <c r="AI428" s="6"/>
      <c r="AJ428" s="6"/>
      <c r="AK428" s="6"/>
      <c r="AL428" s="6"/>
      <c r="AM428" s="6"/>
      <c r="AN428" s="6"/>
      <c r="AO428" s="6"/>
    </row>
    <row r="429" spans="1:41" ht="14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15"/>
      <c r="AC429" s="15"/>
      <c r="AD429" s="15"/>
      <c r="AE429" s="15"/>
      <c r="AF429" s="6"/>
      <c r="AG429" s="6"/>
      <c r="AH429" s="6"/>
      <c r="AI429" s="6"/>
      <c r="AJ429" s="6"/>
      <c r="AK429" s="6"/>
      <c r="AL429" s="6"/>
      <c r="AM429" s="6"/>
      <c r="AN429" s="6"/>
      <c r="AO429" s="6"/>
    </row>
    <row r="430" spans="1:41" ht="14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15"/>
      <c r="AC430" s="15"/>
      <c r="AD430" s="15"/>
      <c r="AE430" s="15"/>
      <c r="AF430" s="6"/>
      <c r="AG430" s="6"/>
      <c r="AH430" s="6"/>
      <c r="AI430" s="6"/>
      <c r="AJ430" s="6"/>
      <c r="AK430" s="6"/>
      <c r="AL430" s="6"/>
      <c r="AM430" s="6"/>
      <c r="AN430" s="6"/>
      <c r="AO430" s="6"/>
    </row>
    <row r="431" spans="1:41" ht="14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15"/>
      <c r="AC431" s="15"/>
      <c r="AD431" s="15"/>
      <c r="AE431" s="15"/>
      <c r="AF431" s="6"/>
      <c r="AG431" s="6"/>
      <c r="AH431" s="6"/>
      <c r="AI431" s="6"/>
      <c r="AJ431" s="6"/>
      <c r="AK431" s="6"/>
      <c r="AL431" s="6"/>
      <c r="AM431" s="6"/>
      <c r="AN431" s="6"/>
      <c r="AO431" s="6"/>
    </row>
    <row r="432" spans="1:41" ht="14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15"/>
      <c r="AC432" s="15"/>
      <c r="AD432" s="15"/>
      <c r="AE432" s="15"/>
      <c r="AF432" s="6"/>
      <c r="AG432" s="6"/>
      <c r="AH432" s="6"/>
      <c r="AI432" s="6"/>
      <c r="AJ432" s="6"/>
      <c r="AK432" s="6"/>
      <c r="AL432" s="6"/>
      <c r="AM432" s="6"/>
      <c r="AN432" s="6"/>
      <c r="AO432" s="6"/>
    </row>
    <row r="433" spans="1:41" ht="14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15"/>
      <c r="AC433" s="15"/>
      <c r="AD433" s="15"/>
      <c r="AE433" s="15"/>
      <c r="AF433" s="6"/>
      <c r="AG433" s="6"/>
      <c r="AH433" s="6"/>
      <c r="AI433" s="6"/>
      <c r="AJ433" s="6"/>
      <c r="AK433" s="6"/>
      <c r="AL433" s="6"/>
      <c r="AM433" s="6"/>
      <c r="AN433" s="6"/>
      <c r="AO433" s="6"/>
    </row>
    <row r="434" spans="1:41" ht="14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15"/>
      <c r="AC434" s="15"/>
      <c r="AD434" s="15"/>
      <c r="AE434" s="15"/>
      <c r="AF434" s="6"/>
      <c r="AG434" s="6"/>
      <c r="AH434" s="6"/>
      <c r="AI434" s="6"/>
      <c r="AJ434" s="6"/>
      <c r="AK434" s="6"/>
      <c r="AL434" s="6"/>
      <c r="AM434" s="6"/>
      <c r="AN434" s="6"/>
      <c r="AO434" s="6"/>
    </row>
    <row r="435" spans="1:41" ht="14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15"/>
      <c r="AC435" s="15"/>
      <c r="AD435" s="15"/>
      <c r="AE435" s="15"/>
      <c r="AF435" s="6"/>
      <c r="AG435" s="6"/>
      <c r="AH435" s="6"/>
      <c r="AI435" s="6"/>
      <c r="AJ435" s="6"/>
      <c r="AK435" s="6"/>
      <c r="AL435" s="6"/>
      <c r="AM435" s="6"/>
      <c r="AN435" s="6"/>
      <c r="AO435" s="6"/>
    </row>
    <row r="436" spans="1:41" ht="14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15"/>
      <c r="AC436" s="15"/>
      <c r="AD436" s="15"/>
      <c r="AE436" s="15"/>
      <c r="AF436" s="6"/>
      <c r="AG436" s="6"/>
      <c r="AH436" s="6"/>
      <c r="AI436" s="6"/>
      <c r="AJ436" s="6"/>
      <c r="AK436" s="6"/>
      <c r="AL436" s="6"/>
      <c r="AM436" s="6"/>
      <c r="AN436" s="6"/>
      <c r="AO436" s="6"/>
    </row>
    <row r="437" spans="1:41" ht="14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15"/>
      <c r="AC437" s="15"/>
      <c r="AD437" s="15"/>
      <c r="AE437" s="15"/>
      <c r="AF437" s="6"/>
      <c r="AG437" s="6"/>
      <c r="AH437" s="6"/>
      <c r="AI437" s="6"/>
      <c r="AJ437" s="6"/>
      <c r="AK437" s="6"/>
      <c r="AL437" s="6"/>
      <c r="AM437" s="6"/>
      <c r="AN437" s="6"/>
      <c r="AO437" s="6"/>
    </row>
    <row r="438" spans="1:41" ht="14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15"/>
      <c r="AC438" s="15"/>
      <c r="AD438" s="15"/>
      <c r="AE438" s="15"/>
      <c r="AF438" s="6"/>
      <c r="AG438" s="6"/>
      <c r="AH438" s="6"/>
      <c r="AI438" s="6"/>
      <c r="AJ438" s="6"/>
      <c r="AK438" s="6"/>
      <c r="AL438" s="6"/>
      <c r="AM438" s="6"/>
      <c r="AN438" s="6"/>
      <c r="AO438" s="6"/>
    </row>
    <row r="439" spans="1:41" ht="14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15"/>
      <c r="AC439" s="15"/>
      <c r="AD439" s="15"/>
      <c r="AE439" s="15"/>
      <c r="AF439" s="6"/>
      <c r="AG439" s="6"/>
      <c r="AH439" s="6"/>
      <c r="AI439" s="6"/>
      <c r="AJ439" s="6"/>
      <c r="AK439" s="6"/>
      <c r="AL439" s="6"/>
      <c r="AM439" s="6"/>
      <c r="AN439" s="6"/>
      <c r="AO439" s="6"/>
    </row>
    <row r="440" spans="1:41" ht="14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15"/>
      <c r="AC440" s="15"/>
      <c r="AD440" s="15"/>
      <c r="AE440" s="15"/>
      <c r="AF440" s="6"/>
      <c r="AG440" s="6"/>
      <c r="AH440" s="6"/>
      <c r="AI440" s="6"/>
      <c r="AJ440" s="6"/>
      <c r="AK440" s="6"/>
      <c r="AL440" s="6"/>
      <c r="AM440" s="6"/>
      <c r="AN440" s="6"/>
      <c r="AO440" s="6"/>
    </row>
    <row r="441" spans="1:41" ht="14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15"/>
      <c r="AC441" s="15"/>
      <c r="AD441" s="15"/>
      <c r="AE441" s="15"/>
      <c r="AF441" s="6"/>
      <c r="AG441" s="6"/>
      <c r="AH441" s="6"/>
      <c r="AI441" s="6"/>
      <c r="AJ441" s="6"/>
      <c r="AK441" s="6"/>
      <c r="AL441" s="6"/>
      <c r="AM441" s="6"/>
      <c r="AN441" s="6"/>
      <c r="AO441" s="6"/>
    </row>
    <row r="442" spans="1:41" ht="14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15"/>
      <c r="AC442" s="15"/>
      <c r="AD442" s="15"/>
      <c r="AE442" s="15"/>
      <c r="AF442" s="6"/>
      <c r="AG442" s="6"/>
      <c r="AH442" s="6"/>
      <c r="AI442" s="6"/>
      <c r="AJ442" s="6"/>
      <c r="AK442" s="6"/>
      <c r="AL442" s="6"/>
      <c r="AM442" s="6"/>
      <c r="AN442" s="6"/>
      <c r="AO442" s="6"/>
    </row>
    <row r="443" spans="1:41" ht="14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15"/>
      <c r="AC443" s="15"/>
      <c r="AD443" s="15"/>
      <c r="AE443" s="15"/>
      <c r="AF443" s="6"/>
      <c r="AG443" s="6"/>
      <c r="AH443" s="6"/>
      <c r="AI443" s="6"/>
      <c r="AJ443" s="6"/>
      <c r="AK443" s="6"/>
      <c r="AL443" s="6"/>
      <c r="AM443" s="6"/>
      <c r="AN443" s="6"/>
      <c r="AO443" s="6"/>
    </row>
    <row r="444" spans="1:41" ht="14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15"/>
      <c r="AC444" s="15"/>
      <c r="AD444" s="15"/>
      <c r="AE444" s="15"/>
      <c r="AF444" s="6"/>
      <c r="AG444" s="6"/>
      <c r="AH444" s="6"/>
      <c r="AI444" s="6"/>
      <c r="AJ444" s="6"/>
      <c r="AK444" s="6"/>
      <c r="AL444" s="6"/>
      <c r="AM444" s="6"/>
      <c r="AN444" s="6"/>
      <c r="AO444" s="6"/>
    </row>
    <row r="445" spans="1:41" ht="14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15"/>
      <c r="AC445" s="15"/>
      <c r="AD445" s="15"/>
      <c r="AE445" s="15"/>
      <c r="AF445" s="6"/>
      <c r="AG445" s="6"/>
      <c r="AH445" s="6"/>
      <c r="AI445" s="6"/>
      <c r="AJ445" s="6"/>
      <c r="AK445" s="6"/>
      <c r="AL445" s="6"/>
      <c r="AM445" s="6"/>
      <c r="AN445" s="6"/>
      <c r="AO445" s="6"/>
    </row>
    <row r="446" spans="1:41" ht="14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15"/>
      <c r="AC446" s="15"/>
      <c r="AD446" s="15"/>
      <c r="AE446" s="15"/>
      <c r="AF446" s="6"/>
      <c r="AG446" s="6"/>
      <c r="AH446" s="6"/>
      <c r="AI446" s="6"/>
      <c r="AJ446" s="6"/>
      <c r="AK446" s="6"/>
      <c r="AL446" s="6"/>
      <c r="AM446" s="6"/>
      <c r="AN446" s="6"/>
      <c r="AO446" s="6"/>
    </row>
    <row r="447" spans="1:41" ht="14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15"/>
      <c r="AC447" s="15"/>
      <c r="AD447" s="15"/>
      <c r="AE447" s="15"/>
      <c r="AF447" s="6"/>
      <c r="AG447" s="6"/>
      <c r="AH447" s="6"/>
      <c r="AI447" s="6"/>
      <c r="AJ447" s="6"/>
      <c r="AK447" s="6"/>
      <c r="AL447" s="6"/>
      <c r="AM447" s="6"/>
      <c r="AN447" s="6"/>
      <c r="AO447" s="6"/>
    </row>
    <row r="448" spans="1:41" ht="14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15"/>
      <c r="AC448" s="15"/>
      <c r="AD448" s="15"/>
      <c r="AE448" s="15"/>
      <c r="AF448" s="6"/>
      <c r="AG448" s="6"/>
      <c r="AH448" s="6"/>
      <c r="AI448" s="6"/>
      <c r="AJ448" s="6"/>
      <c r="AK448" s="6"/>
      <c r="AL448" s="6"/>
      <c r="AM448" s="6"/>
      <c r="AN448" s="6"/>
      <c r="AO448" s="6"/>
    </row>
    <row r="449" spans="1:41" ht="14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15"/>
      <c r="AC449" s="15"/>
      <c r="AD449" s="15"/>
      <c r="AE449" s="15"/>
      <c r="AF449" s="6"/>
      <c r="AG449" s="6"/>
      <c r="AH449" s="6"/>
      <c r="AI449" s="6"/>
      <c r="AJ449" s="6"/>
      <c r="AK449" s="6"/>
      <c r="AL449" s="6"/>
      <c r="AM449" s="6"/>
      <c r="AN449" s="6"/>
      <c r="AO449" s="6"/>
    </row>
    <row r="450" spans="1:41" ht="14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15"/>
      <c r="AC450" s="15"/>
      <c r="AD450" s="15"/>
      <c r="AE450" s="15"/>
      <c r="AF450" s="6"/>
      <c r="AG450" s="6"/>
      <c r="AH450" s="6"/>
      <c r="AI450" s="6"/>
      <c r="AJ450" s="6"/>
      <c r="AK450" s="6"/>
      <c r="AL450" s="6"/>
      <c r="AM450" s="6"/>
      <c r="AN450" s="6"/>
      <c r="AO450" s="6"/>
    </row>
    <row r="451" spans="1:41" ht="14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15"/>
      <c r="AC451" s="15"/>
      <c r="AD451" s="15"/>
      <c r="AE451" s="15"/>
      <c r="AF451" s="6"/>
      <c r="AG451" s="6"/>
      <c r="AH451" s="6"/>
      <c r="AI451" s="6"/>
      <c r="AJ451" s="6"/>
      <c r="AK451" s="6"/>
      <c r="AL451" s="6"/>
      <c r="AM451" s="6"/>
      <c r="AN451" s="6"/>
      <c r="AO451" s="6"/>
    </row>
    <row r="452" spans="1:41" ht="14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15"/>
      <c r="AC452" s="15"/>
      <c r="AD452" s="15"/>
      <c r="AE452" s="15"/>
      <c r="AF452" s="6"/>
      <c r="AG452" s="6"/>
      <c r="AH452" s="6"/>
      <c r="AI452" s="6"/>
      <c r="AJ452" s="6"/>
      <c r="AK452" s="6"/>
      <c r="AL452" s="6"/>
      <c r="AM452" s="6"/>
      <c r="AN452" s="6"/>
      <c r="AO452" s="6"/>
    </row>
    <row r="453" spans="1:41" ht="14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15"/>
      <c r="AC453" s="15"/>
      <c r="AD453" s="15"/>
      <c r="AE453" s="15"/>
      <c r="AF453" s="6"/>
      <c r="AG453" s="6"/>
      <c r="AH453" s="6"/>
      <c r="AI453" s="6"/>
      <c r="AJ453" s="6"/>
      <c r="AK453" s="6"/>
      <c r="AL453" s="6"/>
      <c r="AM453" s="6"/>
      <c r="AN453" s="6"/>
      <c r="AO453" s="6"/>
    </row>
    <row r="454" spans="1:41" ht="14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15"/>
      <c r="AC454" s="15"/>
      <c r="AD454" s="15"/>
      <c r="AE454" s="15"/>
      <c r="AF454" s="6"/>
      <c r="AG454" s="6"/>
      <c r="AH454" s="6"/>
      <c r="AI454" s="6"/>
      <c r="AJ454" s="6"/>
      <c r="AK454" s="6"/>
      <c r="AL454" s="6"/>
      <c r="AM454" s="6"/>
      <c r="AN454" s="6"/>
      <c r="AO454" s="6"/>
    </row>
    <row r="455" spans="1:41" ht="14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15"/>
      <c r="AC455" s="15"/>
      <c r="AD455" s="15"/>
      <c r="AE455" s="15"/>
      <c r="AF455" s="6"/>
      <c r="AG455" s="6"/>
      <c r="AH455" s="6"/>
      <c r="AI455" s="6"/>
      <c r="AJ455" s="6"/>
      <c r="AK455" s="6"/>
      <c r="AL455" s="6"/>
      <c r="AM455" s="6"/>
      <c r="AN455" s="6"/>
      <c r="AO455" s="6"/>
    </row>
    <row r="456" spans="1:41" ht="14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15"/>
      <c r="AC456" s="15"/>
      <c r="AD456" s="15"/>
      <c r="AE456" s="15"/>
      <c r="AF456" s="6"/>
      <c r="AG456" s="6"/>
      <c r="AH456" s="6"/>
      <c r="AI456" s="6"/>
      <c r="AJ456" s="6"/>
      <c r="AK456" s="6"/>
      <c r="AL456" s="6"/>
      <c r="AM456" s="6"/>
      <c r="AN456" s="6"/>
      <c r="AO456" s="6"/>
    </row>
    <row r="457" spans="1:41" ht="14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15"/>
      <c r="AC457" s="15"/>
      <c r="AD457" s="15"/>
      <c r="AE457" s="15"/>
      <c r="AF457" s="6"/>
      <c r="AG457" s="6"/>
      <c r="AH457" s="6"/>
      <c r="AI457" s="6"/>
      <c r="AJ457" s="6"/>
      <c r="AK457" s="6"/>
      <c r="AL457" s="6"/>
      <c r="AM457" s="6"/>
      <c r="AN457" s="6"/>
      <c r="AO457" s="6"/>
    </row>
    <row r="458" spans="1:41" ht="14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15"/>
      <c r="AC458" s="15"/>
      <c r="AD458" s="15"/>
      <c r="AE458" s="15"/>
      <c r="AF458" s="6"/>
      <c r="AG458" s="6"/>
      <c r="AH458" s="6"/>
      <c r="AI458" s="6"/>
      <c r="AJ458" s="6"/>
      <c r="AK458" s="6"/>
      <c r="AL458" s="6"/>
      <c r="AM458" s="6"/>
      <c r="AN458" s="6"/>
      <c r="AO458" s="6"/>
    </row>
    <row r="459" spans="1:41" ht="14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15"/>
      <c r="AC459" s="15"/>
      <c r="AD459" s="15"/>
      <c r="AE459" s="15"/>
      <c r="AF459" s="6"/>
      <c r="AG459" s="6"/>
      <c r="AH459" s="6"/>
      <c r="AI459" s="6"/>
      <c r="AJ459" s="6"/>
      <c r="AK459" s="6"/>
      <c r="AL459" s="6"/>
      <c r="AM459" s="6"/>
      <c r="AN459" s="6"/>
      <c r="AO459" s="6"/>
    </row>
    <row r="460" spans="1:41" ht="14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15"/>
      <c r="AC460" s="15"/>
      <c r="AD460" s="15"/>
      <c r="AE460" s="15"/>
      <c r="AF460" s="6"/>
      <c r="AG460" s="6"/>
      <c r="AH460" s="6"/>
      <c r="AI460" s="6"/>
      <c r="AJ460" s="6"/>
      <c r="AK460" s="6"/>
      <c r="AL460" s="6"/>
      <c r="AM460" s="6"/>
      <c r="AN460" s="6"/>
      <c r="AO460" s="6"/>
    </row>
    <row r="461" spans="1:41" ht="14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15"/>
      <c r="AC461" s="15"/>
      <c r="AD461" s="15"/>
      <c r="AE461" s="15"/>
      <c r="AF461" s="6"/>
      <c r="AG461" s="6"/>
      <c r="AH461" s="6"/>
      <c r="AI461" s="6"/>
      <c r="AJ461" s="6"/>
      <c r="AK461" s="6"/>
      <c r="AL461" s="6"/>
      <c r="AM461" s="6"/>
      <c r="AN461" s="6"/>
      <c r="AO461" s="6"/>
    </row>
    <row r="462" spans="1:41" ht="14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15"/>
      <c r="AC462" s="15"/>
      <c r="AD462" s="15"/>
      <c r="AE462" s="15"/>
      <c r="AF462" s="6"/>
      <c r="AG462" s="6"/>
      <c r="AH462" s="6"/>
      <c r="AI462" s="6"/>
      <c r="AJ462" s="6"/>
      <c r="AK462" s="6"/>
      <c r="AL462" s="6"/>
      <c r="AM462" s="6"/>
      <c r="AN462" s="6"/>
      <c r="AO462" s="6"/>
    </row>
    <row r="463" spans="1:41" ht="14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15"/>
      <c r="AC463" s="15"/>
      <c r="AD463" s="15"/>
      <c r="AE463" s="15"/>
      <c r="AF463" s="6"/>
      <c r="AG463" s="6"/>
      <c r="AH463" s="6"/>
      <c r="AI463" s="6"/>
      <c r="AJ463" s="6"/>
      <c r="AK463" s="6"/>
      <c r="AL463" s="6"/>
      <c r="AM463" s="6"/>
      <c r="AN463" s="6"/>
      <c r="AO463" s="6"/>
    </row>
    <row r="464" spans="1:41" ht="14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15"/>
      <c r="AC464" s="15"/>
      <c r="AD464" s="15"/>
      <c r="AE464" s="15"/>
      <c r="AF464" s="6"/>
      <c r="AG464" s="6"/>
      <c r="AH464" s="6"/>
      <c r="AI464" s="6"/>
      <c r="AJ464" s="6"/>
      <c r="AK464" s="6"/>
      <c r="AL464" s="6"/>
      <c r="AM464" s="6"/>
      <c r="AN464" s="6"/>
      <c r="AO464" s="6"/>
    </row>
    <row r="465" spans="1:41" ht="14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15"/>
      <c r="AC465" s="15"/>
      <c r="AD465" s="15"/>
      <c r="AE465" s="15"/>
      <c r="AF465" s="6"/>
      <c r="AG465" s="6"/>
      <c r="AH465" s="6"/>
      <c r="AI465" s="6"/>
      <c r="AJ465" s="6"/>
      <c r="AK465" s="6"/>
      <c r="AL465" s="6"/>
      <c r="AM465" s="6"/>
      <c r="AN465" s="6"/>
      <c r="AO465" s="6"/>
    </row>
    <row r="466" spans="1:41" ht="14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15"/>
      <c r="AC466" s="15"/>
      <c r="AD466" s="15"/>
      <c r="AE466" s="15"/>
      <c r="AF466" s="6"/>
      <c r="AG466" s="6"/>
      <c r="AH466" s="6"/>
      <c r="AI466" s="6"/>
      <c r="AJ466" s="6"/>
      <c r="AK466" s="6"/>
      <c r="AL466" s="6"/>
      <c r="AM466" s="6"/>
      <c r="AN466" s="6"/>
      <c r="AO466" s="6"/>
    </row>
    <row r="467" spans="1:41" ht="14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15"/>
      <c r="AC467" s="15"/>
      <c r="AD467" s="15"/>
      <c r="AE467" s="15"/>
      <c r="AF467" s="6"/>
      <c r="AG467" s="6"/>
      <c r="AH467" s="6"/>
      <c r="AI467" s="6"/>
      <c r="AJ467" s="6"/>
      <c r="AK467" s="6"/>
      <c r="AL467" s="6"/>
      <c r="AM467" s="6"/>
      <c r="AN467" s="6"/>
      <c r="AO467" s="6"/>
    </row>
    <row r="468" spans="1:41" ht="14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15"/>
      <c r="AC468" s="15"/>
      <c r="AD468" s="15"/>
      <c r="AE468" s="15"/>
      <c r="AF468" s="6"/>
      <c r="AG468" s="6"/>
      <c r="AH468" s="6"/>
      <c r="AI468" s="6"/>
      <c r="AJ468" s="6"/>
      <c r="AK468" s="6"/>
      <c r="AL468" s="6"/>
      <c r="AM468" s="6"/>
      <c r="AN468" s="6"/>
      <c r="AO468" s="6"/>
    </row>
    <row r="469" spans="1:41" ht="14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15"/>
      <c r="AC469" s="15"/>
      <c r="AD469" s="15"/>
      <c r="AE469" s="15"/>
      <c r="AF469" s="6"/>
      <c r="AG469" s="6"/>
      <c r="AH469" s="6"/>
      <c r="AI469" s="6"/>
      <c r="AJ469" s="6"/>
      <c r="AK469" s="6"/>
      <c r="AL469" s="6"/>
      <c r="AM469" s="6"/>
      <c r="AN469" s="6"/>
      <c r="AO469" s="6"/>
    </row>
    <row r="470" spans="1:41" ht="14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15"/>
      <c r="AC470" s="15"/>
      <c r="AD470" s="15"/>
      <c r="AE470" s="15"/>
      <c r="AF470" s="6"/>
      <c r="AG470" s="6"/>
      <c r="AH470" s="6"/>
      <c r="AI470" s="6"/>
      <c r="AJ470" s="6"/>
      <c r="AK470" s="6"/>
      <c r="AL470" s="6"/>
      <c r="AM470" s="6"/>
      <c r="AN470" s="6"/>
      <c r="AO470" s="6"/>
    </row>
    <row r="471" spans="1:41" ht="14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15"/>
      <c r="AC471" s="15"/>
      <c r="AD471" s="15"/>
      <c r="AE471" s="15"/>
      <c r="AF471" s="6"/>
      <c r="AG471" s="6"/>
      <c r="AH471" s="6"/>
      <c r="AI471" s="6"/>
      <c r="AJ471" s="6"/>
      <c r="AK471" s="6"/>
      <c r="AL471" s="6"/>
      <c r="AM471" s="6"/>
      <c r="AN471" s="6"/>
      <c r="AO471" s="6"/>
    </row>
    <row r="472" spans="1:41" ht="14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15"/>
      <c r="AC472" s="15"/>
      <c r="AD472" s="15"/>
      <c r="AE472" s="15"/>
      <c r="AF472" s="6"/>
      <c r="AG472" s="6"/>
      <c r="AH472" s="6"/>
      <c r="AI472" s="6"/>
      <c r="AJ472" s="6"/>
      <c r="AK472" s="6"/>
      <c r="AL472" s="6"/>
      <c r="AM472" s="6"/>
      <c r="AN472" s="6"/>
      <c r="AO472" s="6"/>
    </row>
    <row r="473" spans="1:41" ht="14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15"/>
      <c r="AC473" s="15"/>
      <c r="AD473" s="15"/>
      <c r="AE473" s="15"/>
      <c r="AF473" s="6"/>
      <c r="AG473" s="6"/>
      <c r="AH473" s="6"/>
      <c r="AI473" s="6"/>
      <c r="AJ473" s="6"/>
      <c r="AK473" s="6"/>
      <c r="AL473" s="6"/>
      <c r="AM473" s="6"/>
      <c r="AN473" s="6"/>
      <c r="AO473" s="6"/>
    </row>
    <row r="474" spans="1:41" ht="14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15"/>
      <c r="AC474" s="15"/>
      <c r="AD474" s="15"/>
      <c r="AE474" s="15"/>
      <c r="AF474" s="6"/>
      <c r="AG474" s="6"/>
      <c r="AH474" s="6"/>
      <c r="AI474" s="6"/>
      <c r="AJ474" s="6"/>
      <c r="AK474" s="6"/>
      <c r="AL474" s="6"/>
      <c r="AM474" s="6"/>
      <c r="AN474" s="6"/>
      <c r="AO474" s="6"/>
    </row>
    <row r="475" spans="1:41" ht="14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15"/>
      <c r="AC475" s="15"/>
      <c r="AD475" s="15"/>
      <c r="AE475" s="15"/>
      <c r="AF475" s="6"/>
      <c r="AG475" s="6"/>
      <c r="AH475" s="6"/>
      <c r="AI475" s="6"/>
      <c r="AJ475" s="6"/>
      <c r="AK475" s="6"/>
      <c r="AL475" s="6"/>
      <c r="AM475" s="6"/>
      <c r="AN475" s="6"/>
      <c r="AO475" s="6"/>
    </row>
    <row r="476" spans="1:41" ht="14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15"/>
      <c r="AC476" s="15"/>
      <c r="AD476" s="15"/>
      <c r="AE476" s="15"/>
      <c r="AF476" s="6"/>
      <c r="AG476" s="6"/>
      <c r="AH476" s="6"/>
      <c r="AI476" s="6"/>
      <c r="AJ476" s="6"/>
      <c r="AK476" s="6"/>
      <c r="AL476" s="6"/>
      <c r="AM476" s="6"/>
      <c r="AN476" s="6"/>
      <c r="AO476" s="6"/>
    </row>
    <row r="477" spans="1:41" ht="14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15"/>
      <c r="AC477" s="15"/>
      <c r="AD477" s="15"/>
      <c r="AE477" s="15"/>
      <c r="AF477" s="6"/>
      <c r="AG477" s="6"/>
      <c r="AH477" s="6"/>
      <c r="AI477" s="6"/>
      <c r="AJ477" s="6"/>
      <c r="AK477" s="6"/>
      <c r="AL477" s="6"/>
      <c r="AM477" s="6"/>
      <c r="AN477" s="6"/>
      <c r="AO477" s="6"/>
    </row>
    <row r="478" spans="1:41" ht="14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15"/>
      <c r="AC478" s="15"/>
      <c r="AD478" s="15"/>
      <c r="AE478" s="15"/>
      <c r="AF478" s="6"/>
      <c r="AG478" s="6"/>
      <c r="AH478" s="6"/>
      <c r="AI478" s="6"/>
      <c r="AJ478" s="6"/>
      <c r="AK478" s="6"/>
      <c r="AL478" s="6"/>
      <c r="AM478" s="6"/>
      <c r="AN478" s="6"/>
      <c r="AO478" s="6"/>
    </row>
    <row r="479" spans="1:41" ht="14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15"/>
      <c r="AC479" s="15"/>
      <c r="AD479" s="15"/>
      <c r="AE479" s="15"/>
      <c r="AF479" s="6"/>
      <c r="AG479" s="6"/>
      <c r="AH479" s="6"/>
      <c r="AI479" s="6"/>
      <c r="AJ479" s="6"/>
      <c r="AK479" s="6"/>
      <c r="AL479" s="6"/>
      <c r="AM479" s="6"/>
      <c r="AN479" s="6"/>
      <c r="AO479" s="6"/>
    </row>
    <row r="480" spans="1:41" ht="14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15"/>
      <c r="AC480" s="15"/>
      <c r="AD480" s="15"/>
      <c r="AE480" s="15"/>
      <c r="AF480" s="6"/>
      <c r="AG480" s="6"/>
      <c r="AH480" s="6"/>
      <c r="AI480" s="6"/>
      <c r="AJ480" s="6"/>
      <c r="AK480" s="6"/>
      <c r="AL480" s="6"/>
      <c r="AM480" s="6"/>
      <c r="AN480" s="6"/>
      <c r="AO480" s="6"/>
    </row>
    <row r="481" spans="1:41" ht="14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15"/>
      <c r="AC481" s="15"/>
      <c r="AD481" s="15"/>
      <c r="AE481" s="15"/>
      <c r="AF481" s="6"/>
      <c r="AG481" s="6"/>
      <c r="AH481" s="6"/>
      <c r="AI481" s="6"/>
      <c r="AJ481" s="6"/>
      <c r="AK481" s="6"/>
      <c r="AL481" s="6"/>
      <c r="AM481" s="6"/>
      <c r="AN481" s="6"/>
      <c r="AO481" s="6"/>
    </row>
    <row r="482" spans="1:41" ht="14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15"/>
      <c r="AC482" s="15"/>
      <c r="AD482" s="15"/>
      <c r="AE482" s="15"/>
      <c r="AF482" s="6"/>
      <c r="AG482" s="6"/>
      <c r="AH482" s="6"/>
      <c r="AI482" s="6"/>
      <c r="AJ482" s="6"/>
      <c r="AK482" s="6"/>
      <c r="AL482" s="6"/>
      <c r="AM482" s="6"/>
      <c r="AN482" s="6"/>
      <c r="AO482" s="6"/>
    </row>
    <row r="483" spans="1:41" ht="14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15"/>
      <c r="AC483" s="15"/>
      <c r="AD483" s="15"/>
      <c r="AE483" s="15"/>
      <c r="AF483" s="6"/>
      <c r="AG483" s="6"/>
      <c r="AH483" s="6"/>
      <c r="AI483" s="6"/>
      <c r="AJ483" s="6"/>
      <c r="AK483" s="6"/>
      <c r="AL483" s="6"/>
      <c r="AM483" s="6"/>
      <c r="AN483" s="6"/>
      <c r="AO483" s="6"/>
    </row>
    <row r="484" spans="1:41" ht="14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15"/>
      <c r="AC484" s="15"/>
      <c r="AD484" s="15"/>
      <c r="AE484" s="15"/>
      <c r="AF484" s="6"/>
      <c r="AG484" s="6"/>
      <c r="AH484" s="6"/>
      <c r="AI484" s="6"/>
      <c r="AJ484" s="6"/>
      <c r="AK484" s="6"/>
      <c r="AL484" s="6"/>
      <c r="AM484" s="6"/>
      <c r="AN484" s="6"/>
      <c r="AO484" s="6"/>
    </row>
    <row r="485" spans="1:41" ht="14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15"/>
      <c r="AC485" s="15"/>
      <c r="AD485" s="15"/>
      <c r="AE485" s="15"/>
      <c r="AF485" s="6"/>
      <c r="AG485" s="6"/>
      <c r="AH485" s="6"/>
      <c r="AI485" s="6"/>
      <c r="AJ485" s="6"/>
      <c r="AK485" s="6"/>
      <c r="AL485" s="6"/>
      <c r="AM485" s="6"/>
      <c r="AN485" s="6"/>
      <c r="AO485" s="6"/>
    </row>
    <row r="486" spans="1:41" ht="14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15"/>
      <c r="AC486" s="15"/>
      <c r="AD486" s="15"/>
      <c r="AE486" s="15"/>
      <c r="AF486" s="6"/>
      <c r="AG486" s="6"/>
      <c r="AH486" s="6"/>
      <c r="AI486" s="6"/>
      <c r="AJ486" s="6"/>
      <c r="AK486" s="6"/>
      <c r="AL486" s="6"/>
      <c r="AM486" s="6"/>
      <c r="AN486" s="6"/>
      <c r="AO486" s="6"/>
    </row>
    <row r="487" spans="1:41" ht="14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15"/>
      <c r="AC487" s="15"/>
      <c r="AD487" s="15"/>
      <c r="AE487" s="15"/>
      <c r="AF487" s="6"/>
      <c r="AG487" s="6"/>
      <c r="AH487" s="6"/>
      <c r="AI487" s="6"/>
      <c r="AJ487" s="6"/>
      <c r="AK487" s="6"/>
      <c r="AL487" s="6"/>
      <c r="AM487" s="6"/>
      <c r="AN487" s="6"/>
      <c r="AO487" s="6"/>
    </row>
    <row r="488" spans="1:41" ht="14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15"/>
      <c r="AC488" s="15"/>
      <c r="AD488" s="15"/>
      <c r="AE488" s="15"/>
      <c r="AF488" s="6"/>
      <c r="AG488" s="6"/>
      <c r="AH488" s="6"/>
      <c r="AI488" s="6"/>
      <c r="AJ488" s="6"/>
      <c r="AK488" s="6"/>
      <c r="AL488" s="6"/>
      <c r="AM488" s="6"/>
      <c r="AN488" s="6"/>
      <c r="AO488" s="6"/>
    </row>
    <row r="489" spans="1:41" ht="14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15"/>
      <c r="AC489" s="15"/>
      <c r="AD489" s="15"/>
      <c r="AE489" s="15"/>
      <c r="AF489" s="6"/>
      <c r="AG489" s="6"/>
      <c r="AH489" s="6"/>
      <c r="AI489" s="6"/>
      <c r="AJ489" s="6"/>
      <c r="AK489" s="6"/>
      <c r="AL489" s="6"/>
      <c r="AM489" s="6"/>
      <c r="AN489" s="6"/>
      <c r="AO489" s="6"/>
    </row>
    <row r="490" spans="1:41" ht="14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15"/>
      <c r="AC490" s="15"/>
      <c r="AD490" s="15"/>
      <c r="AE490" s="15"/>
      <c r="AF490" s="6"/>
      <c r="AG490" s="6"/>
      <c r="AH490" s="6"/>
      <c r="AI490" s="6"/>
      <c r="AJ490" s="6"/>
      <c r="AK490" s="6"/>
      <c r="AL490" s="6"/>
      <c r="AM490" s="6"/>
      <c r="AN490" s="6"/>
      <c r="AO490" s="6"/>
    </row>
    <row r="491" spans="1:41" ht="14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15"/>
      <c r="AC491" s="15"/>
      <c r="AD491" s="15"/>
      <c r="AE491" s="15"/>
      <c r="AF491" s="6"/>
      <c r="AG491" s="6"/>
      <c r="AH491" s="6"/>
      <c r="AI491" s="6"/>
      <c r="AJ491" s="6"/>
      <c r="AK491" s="6"/>
      <c r="AL491" s="6"/>
      <c r="AM491" s="6"/>
      <c r="AN491" s="6"/>
      <c r="AO491" s="6"/>
    </row>
    <row r="492" spans="1:41" ht="14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15"/>
      <c r="AC492" s="15"/>
      <c r="AD492" s="15"/>
      <c r="AE492" s="15"/>
      <c r="AF492" s="6"/>
      <c r="AG492" s="6"/>
      <c r="AH492" s="6"/>
      <c r="AI492" s="6"/>
      <c r="AJ492" s="6"/>
      <c r="AK492" s="6"/>
      <c r="AL492" s="6"/>
      <c r="AM492" s="6"/>
      <c r="AN492" s="6"/>
      <c r="AO492" s="6"/>
    </row>
    <row r="493" spans="1:41" ht="14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15"/>
      <c r="AC493" s="15"/>
      <c r="AD493" s="15"/>
      <c r="AE493" s="15"/>
      <c r="AF493" s="6"/>
      <c r="AG493" s="6"/>
      <c r="AH493" s="6"/>
      <c r="AI493" s="6"/>
      <c r="AJ493" s="6"/>
      <c r="AK493" s="6"/>
      <c r="AL493" s="6"/>
      <c r="AM493" s="6"/>
      <c r="AN493" s="6"/>
      <c r="AO493" s="6"/>
    </row>
    <row r="494" spans="1:41" ht="14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15"/>
      <c r="AC494" s="15"/>
      <c r="AD494" s="15"/>
      <c r="AE494" s="15"/>
      <c r="AF494" s="6"/>
      <c r="AG494" s="6"/>
      <c r="AH494" s="6"/>
      <c r="AI494" s="6"/>
      <c r="AJ494" s="6"/>
      <c r="AK494" s="6"/>
      <c r="AL494" s="6"/>
      <c r="AM494" s="6"/>
      <c r="AN494" s="6"/>
      <c r="AO494" s="6"/>
    </row>
    <row r="495" spans="1:41" ht="14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15"/>
      <c r="AC495" s="15"/>
      <c r="AD495" s="15"/>
      <c r="AE495" s="15"/>
      <c r="AF495" s="6"/>
      <c r="AG495" s="6"/>
      <c r="AH495" s="6"/>
      <c r="AI495" s="6"/>
      <c r="AJ495" s="6"/>
      <c r="AK495" s="6"/>
      <c r="AL495" s="6"/>
      <c r="AM495" s="6"/>
      <c r="AN495" s="6"/>
      <c r="AO495" s="6"/>
    </row>
    <row r="496" spans="1:41" ht="14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15"/>
      <c r="AC496" s="15"/>
      <c r="AD496" s="15"/>
      <c r="AE496" s="15"/>
      <c r="AF496" s="6"/>
      <c r="AG496" s="6"/>
      <c r="AH496" s="6"/>
      <c r="AI496" s="6"/>
      <c r="AJ496" s="6"/>
      <c r="AK496" s="6"/>
      <c r="AL496" s="6"/>
      <c r="AM496" s="6"/>
      <c r="AN496" s="6"/>
      <c r="AO496" s="6"/>
    </row>
    <row r="497" spans="1:41" ht="14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15"/>
      <c r="AC497" s="15"/>
      <c r="AD497" s="15"/>
      <c r="AE497" s="15"/>
      <c r="AF497" s="6"/>
      <c r="AG497" s="6"/>
      <c r="AH497" s="6"/>
      <c r="AI497" s="6"/>
      <c r="AJ497" s="6"/>
      <c r="AK497" s="6"/>
      <c r="AL497" s="6"/>
      <c r="AM497" s="6"/>
      <c r="AN497" s="6"/>
      <c r="AO497" s="6"/>
    </row>
    <row r="498" spans="1:41" ht="14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15"/>
      <c r="AC498" s="15"/>
      <c r="AD498" s="15"/>
      <c r="AE498" s="15"/>
      <c r="AF498" s="6"/>
      <c r="AG498" s="6"/>
      <c r="AH498" s="6"/>
      <c r="AI498" s="6"/>
      <c r="AJ498" s="6"/>
      <c r="AK498" s="6"/>
      <c r="AL498" s="6"/>
      <c r="AM498" s="6"/>
      <c r="AN498" s="6"/>
      <c r="AO498" s="6"/>
    </row>
    <row r="499" spans="1:41" ht="14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15"/>
      <c r="AC499" s="15"/>
      <c r="AD499" s="15"/>
      <c r="AE499" s="15"/>
      <c r="AF499" s="6"/>
      <c r="AG499" s="6"/>
      <c r="AH499" s="6"/>
      <c r="AI499" s="6"/>
      <c r="AJ499" s="6"/>
      <c r="AK499" s="6"/>
      <c r="AL499" s="6"/>
      <c r="AM499" s="6"/>
      <c r="AN499" s="6"/>
      <c r="AO499" s="6"/>
    </row>
    <row r="500" spans="1:41" ht="14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15"/>
      <c r="AC500" s="15"/>
      <c r="AD500" s="15"/>
      <c r="AE500" s="15"/>
      <c r="AF500" s="6"/>
      <c r="AG500" s="6"/>
      <c r="AH500" s="6"/>
      <c r="AI500" s="6"/>
      <c r="AJ500" s="6"/>
      <c r="AK500" s="6"/>
      <c r="AL500" s="6"/>
      <c r="AM500" s="6"/>
      <c r="AN500" s="6"/>
      <c r="AO500" s="6"/>
    </row>
    <row r="501" spans="1:41" ht="14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15"/>
      <c r="AC501" s="15"/>
      <c r="AD501" s="15"/>
      <c r="AE501" s="15"/>
      <c r="AF501" s="6"/>
      <c r="AG501" s="6"/>
      <c r="AH501" s="6"/>
      <c r="AI501" s="6"/>
      <c r="AJ501" s="6"/>
      <c r="AK501" s="6"/>
      <c r="AL501" s="6"/>
      <c r="AM501" s="6"/>
      <c r="AN501" s="6"/>
      <c r="AO501" s="6"/>
    </row>
    <row r="502" spans="1:41" ht="14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15"/>
      <c r="AC502" s="15"/>
      <c r="AD502" s="15"/>
      <c r="AE502" s="15"/>
      <c r="AF502" s="6"/>
      <c r="AG502" s="6"/>
      <c r="AH502" s="6"/>
      <c r="AI502" s="6"/>
      <c r="AJ502" s="6"/>
      <c r="AK502" s="6"/>
      <c r="AL502" s="6"/>
      <c r="AM502" s="6"/>
      <c r="AN502" s="6"/>
      <c r="AO502" s="6"/>
    </row>
    <row r="503" spans="1:41" ht="14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15"/>
      <c r="AC503" s="15"/>
      <c r="AD503" s="15"/>
      <c r="AE503" s="15"/>
      <c r="AF503" s="6"/>
      <c r="AG503" s="6"/>
      <c r="AH503" s="6"/>
      <c r="AI503" s="6"/>
      <c r="AJ503" s="6"/>
      <c r="AK503" s="6"/>
      <c r="AL503" s="6"/>
      <c r="AM503" s="6"/>
      <c r="AN503" s="6"/>
      <c r="AO503" s="6"/>
    </row>
    <row r="504" spans="1:41" ht="14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15"/>
      <c r="AC504" s="15"/>
      <c r="AD504" s="15"/>
      <c r="AE504" s="15"/>
      <c r="AF504" s="6"/>
      <c r="AG504" s="6"/>
      <c r="AH504" s="6"/>
      <c r="AI504" s="6"/>
      <c r="AJ504" s="6"/>
      <c r="AK504" s="6"/>
      <c r="AL504" s="6"/>
      <c r="AM504" s="6"/>
      <c r="AN504" s="6"/>
      <c r="AO504" s="6"/>
    </row>
    <row r="505" spans="1:41" ht="14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15"/>
      <c r="AC505" s="15"/>
      <c r="AD505" s="15"/>
      <c r="AE505" s="15"/>
      <c r="AF505" s="6"/>
      <c r="AG505" s="6"/>
      <c r="AH505" s="6"/>
      <c r="AI505" s="6"/>
      <c r="AJ505" s="6"/>
      <c r="AK505" s="6"/>
      <c r="AL505" s="6"/>
      <c r="AM505" s="6"/>
      <c r="AN505" s="6"/>
      <c r="AO505" s="6"/>
    </row>
    <row r="506" spans="1:41" ht="14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15"/>
      <c r="AC506" s="15"/>
      <c r="AD506" s="15"/>
      <c r="AE506" s="15"/>
      <c r="AF506" s="6"/>
      <c r="AG506" s="6"/>
      <c r="AH506" s="6"/>
      <c r="AI506" s="6"/>
      <c r="AJ506" s="6"/>
      <c r="AK506" s="6"/>
      <c r="AL506" s="6"/>
      <c r="AM506" s="6"/>
      <c r="AN506" s="6"/>
      <c r="AO506" s="6"/>
    </row>
    <row r="507" spans="1:41" ht="14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15"/>
      <c r="AC507" s="15"/>
      <c r="AD507" s="15"/>
      <c r="AE507" s="15"/>
      <c r="AF507" s="6"/>
      <c r="AG507" s="6"/>
      <c r="AH507" s="6"/>
      <c r="AI507" s="6"/>
      <c r="AJ507" s="6"/>
      <c r="AK507" s="6"/>
      <c r="AL507" s="6"/>
      <c r="AM507" s="6"/>
      <c r="AN507" s="6"/>
      <c r="AO507" s="6"/>
    </row>
    <row r="508" spans="1:41" ht="14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15"/>
      <c r="AC508" s="15"/>
      <c r="AD508" s="15"/>
      <c r="AE508" s="15"/>
      <c r="AF508" s="6"/>
      <c r="AG508" s="6"/>
      <c r="AH508" s="6"/>
      <c r="AI508" s="6"/>
      <c r="AJ508" s="6"/>
      <c r="AK508" s="6"/>
      <c r="AL508" s="6"/>
      <c r="AM508" s="6"/>
      <c r="AN508" s="6"/>
      <c r="AO508" s="6"/>
    </row>
    <row r="509" spans="1:41" ht="14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15"/>
      <c r="AC509" s="15"/>
      <c r="AD509" s="15"/>
      <c r="AE509" s="15"/>
      <c r="AF509" s="6"/>
      <c r="AG509" s="6"/>
      <c r="AH509" s="6"/>
      <c r="AI509" s="6"/>
      <c r="AJ509" s="6"/>
      <c r="AK509" s="6"/>
      <c r="AL509" s="6"/>
      <c r="AM509" s="6"/>
      <c r="AN509" s="6"/>
      <c r="AO509" s="6"/>
    </row>
    <row r="510" spans="1:41" ht="14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15"/>
      <c r="AC510" s="15"/>
      <c r="AD510" s="15"/>
      <c r="AE510" s="15"/>
      <c r="AF510" s="6"/>
      <c r="AG510" s="6"/>
      <c r="AH510" s="6"/>
      <c r="AI510" s="6"/>
      <c r="AJ510" s="6"/>
      <c r="AK510" s="6"/>
      <c r="AL510" s="6"/>
      <c r="AM510" s="6"/>
      <c r="AN510" s="6"/>
      <c r="AO510" s="6"/>
    </row>
    <row r="511" spans="1:41" ht="14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15"/>
      <c r="AC511" s="15"/>
      <c r="AD511" s="15"/>
      <c r="AE511" s="15"/>
      <c r="AF511" s="6"/>
      <c r="AG511" s="6"/>
      <c r="AH511" s="6"/>
      <c r="AI511" s="6"/>
      <c r="AJ511" s="6"/>
      <c r="AK511" s="6"/>
      <c r="AL511" s="6"/>
      <c r="AM511" s="6"/>
      <c r="AN511" s="6"/>
      <c r="AO511" s="6"/>
    </row>
    <row r="512" spans="1:41" ht="14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15"/>
      <c r="AC512" s="15"/>
      <c r="AD512" s="15"/>
      <c r="AE512" s="15"/>
      <c r="AF512" s="6"/>
      <c r="AG512" s="6"/>
      <c r="AH512" s="6"/>
      <c r="AI512" s="6"/>
      <c r="AJ512" s="6"/>
      <c r="AK512" s="6"/>
      <c r="AL512" s="6"/>
      <c r="AM512" s="6"/>
      <c r="AN512" s="6"/>
      <c r="AO512" s="6"/>
    </row>
    <row r="513" spans="1:41" ht="14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15"/>
      <c r="AC513" s="15"/>
      <c r="AD513" s="15"/>
      <c r="AE513" s="15"/>
      <c r="AF513" s="6"/>
      <c r="AG513" s="6"/>
      <c r="AH513" s="6"/>
      <c r="AI513" s="6"/>
      <c r="AJ513" s="6"/>
      <c r="AK513" s="6"/>
      <c r="AL513" s="6"/>
      <c r="AM513" s="6"/>
      <c r="AN513" s="6"/>
      <c r="AO513" s="6"/>
    </row>
    <row r="514" spans="1:41" ht="14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15"/>
      <c r="AC514" s="15"/>
      <c r="AD514" s="15"/>
      <c r="AE514" s="15"/>
      <c r="AF514" s="6"/>
      <c r="AG514" s="6"/>
      <c r="AH514" s="6"/>
      <c r="AI514" s="6"/>
      <c r="AJ514" s="6"/>
      <c r="AK514" s="6"/>
      <c r="AL514" s="6"/>
      <c r="AM514" s="6"/>
      <c r="AN514" s="6"/>
      <c r="AO514" s="6"/>
    </row>
    <row r="515" spans="1:41" ht="14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15"/>
      <c r="AC515" s="15"/>
      <c r="AD515" s="15"/>
      <c r="AE515" s="15"/>
      <c r="AF515" s="6"/>
      <c r="AG515" s="6"/>
      <c r="AH515" s="6"/>
      <c r="AI515" s="6"/>
      <c r="AJ515" s="6"/>
      <c r="AK515" s="6"/>
      <c r="AL515" s="6"/>
      <c r="AM515" s="6"/>
      <c r="AN515" s="6"/>
      <c r="AO515" s="6"/>
    </row>
    <row r="516" spans="1:41" ht="14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15"/>
      <c r="AC516" s="15"/>
      <c r="AD516" s="15"/>
      <c r="AE516" s="15"/>
      <c r="AF516" s="6"/>
      <c r="AG516" s="6"/>
      <c r="AH516" s="6"/>
      <c r="AI516" s="6"/>
      <c r="AJ516" s="6"/>
      <c r="AK516" s="6"/>
      <c r="AL516" s="6"/>
      <c r="AM516" s="6"/>
      <c r="AN516" s="6"/>
      <c r="AO516" s="6"/>
    </row>
    <row r="517" spans="1:41" ht="14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15"/>
      <c r="AC517" s="15"/>
      <c r="AD517" s="15"/>
      <c r="AE517" s="15"/>
      <c r="AF517" s="6"/>
      <c r="AG517" s="6"/>
      <c r="AH517" s="6"/>
      <c r="AI517" s="6"/>
      <c r="AJ517" s="6"/>
      <c r="AK517" s="6"/>
      <c r="AL517" s="6"/>
      <c r="AM517" s="6"/>
      <c r="AN517" s="6"/>
      <c r="AO517" s="6"/>
    </row>
    <row r="518" spans="1:41" ht="14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15"/>
      <c r="AC518" s="15"/>
      <c r="AD518" s="15"/>
      <c r="AE518" s="15"/>
      <c r="AF518" s="6"/>
      <c r="AG518" s="6"/>
      <c r="AH518" s="6"/>
      <c r="AI518" s="6"/>
      <c r="AJ518" s="6"/>
      <c r="AK518" s="6"/>
      <c r="AL518" s="6"/>
      <c r="AM518" s="6"/>
      <c r="AN518" s="6"/>
      <c r="AO518" s="6"/>
    </row>
    <row r="519" spans="1:41" ht="14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15"/>
      <c r="AC519" s="15"/>
      <c r="AD519" s="15"/>
      <c r="AE519" s="15"/>
      <c r="AF519" s="6"/>
      <c r="AG519" s="6"/>
      <c r="AH519" s="6"/>
      <c r="AI519" s="6"/>
      <c r="AJ519" s="6"/>
      <c r="AK519" s="6"/>
      <c r="AL519" s="6"/>
      <c r="AM519" s="6"/>
      <c r="AN519" s="6"/>
      <c r="AO519" s="6"/>
    </row>
    <row r="520" spans="1:41" ht="14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15"/>
      <c r="AC520" s="15"/>
      <c r="AD520" s="15"/>
      <c r="AE520" s="15"/>
      <c r="AF520" s="6"/>
      <c r="AG520" s="6"/>
      <c r="AH520" s="6"/>
      <c r="AI520" s="6"/>
      <c r="AJ520" s="6"/>
      <c r="AK520" s="6"/>
      <c r="AL520" s="6"/>
      <c r="AM520" s="6"/>
      <c r="AN520" s="6"/>
      <c r="AO520" s="6"/>
    </row>
    <row r="521" spans="1:41" ht="14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15"/>
      <c r="AC521" s="15"/>
      <c r="AD521" s="15"/>
      <c r="AE521" s="15"/>
      <c r="AF521" s="6"/>
      <c r="AG521" s="6"/>
      <c r="AH521" s="6"/>
      <c r="AI521" s="6"/>
      <c r="AJ521" s="6"/>
      <c r="AK521" s="6"/>
      <c r="AL521" s="6"/>
      <c r="AM521" s="6"/>
      <c r="AN521" s="6"/>
      <c r="AO521" s="6"/>
    </row>
    <row r="522" spans="1:41" ht="14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15"/>
      <c r="AC522" s="15"/>
      <c r="AD522" s="15"/>
      <c r="AE522" s="15"/>
      <c r="AF522" s="6"/>
      <c r="AG522" s="6"/>
      <c r="AH522" s="6"/>
      <c r="AI522" s="6"/>
      <c r="AJ522" s="6"/>
      <c r="AK522" s="6"/>
      <c r="AL522" s="6"/>
      <c r="AM522" s="6"/>
      <c r="AN522" s="6"/>
      <c r="AO522" s="6"/>
    </row>
    <row r="523" spans="1:41" ht="14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15"/>
      <c r="AC523" s="15"/>
      <c r="AD523" s="15"/>
      <c r="AE523" s="15"/>
      <c r="AF523" s="6"/>
      <c r="AG523" s="6"/>
      <c r="AH523" s="6"/>
      <c r="AI523" s="6"/>
      <c r="AJ523" s="6"/>
      <c r="AK523" s="6"/>
      <c r="AL523" s="6"/>
      <c r="AM523" s="6"/>
      <c r="AN523" s="6"/>
      <c r="AO523" s="6"/>
    </row>
    <row r="524" spans="1:41" ht="14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15"/>
      <c r="AC524" s="15"/>
      <c r="AD524" s="15"/>
      <c r="AE524" s="15"/>
      <c r="AF524" s="6"/>
      <c r="AG524" s="6"/>
      <c r="AH524" s="6"/>
      <c r="AI524" s="6"/>
      <c r="AJ524" s="6"/>
      <c r="AK524" s="6"/>
      <c r="AL524" s="6"/>
      <c r="AM524" s="6"/>
      <c r="AN524" s="6"/>
      <c r="AO524" s="6"/>
    </row>
    <row r="525" spans="1:41" ht="14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15"/>
      <c r="AC525" s="15"/>
      <c r="AD525" s="15"/>
      <c r="AE525" s="15"/>
      <c r="AF525" s="6"/>
      <c r="AG525" s="6"/>
      <c r="AH525" s="6"/>
      <c r="AI525" s="6"/>
      <c r="AJ525" s="6"/>
      <c r="AK525" s="6"/>
      <c r="AL525" s="6"/>
      <c r="AM525" s="6"/>
      <c r="AN525" s="6"/>
      <c r="AO525" s="6"/>
    </row>
    <row r="526" spans="1:41" ht="14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15"/>
      <c r="AC526" s="15"/>
      <c r="AD526" s="15"/>
      <c r="AE526" s="15"/>
      <c r="AF526" s="6"/>
      <c r="AG526" s="6"/>
      <c r="AH526" s="6"/>
      <c r="AI526" s="6"/>
      <c r="AJ526" s="6"/>
      <c r="AK526" s="6"/>
      <c r="AL526" s="6"/>
      <c r="AM526" s="6"/>
      <c r="AN526" s="6"/>
      <c r="AO526" s="6"/>
    </row>
    <row r="527" spans="1:41" ht="14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15"/>
      <c r="AC527" s="15"/>
      <c r="AD527" s="15"/>
      <c r="AE527" s="15"/>
      <c r="AF527" s="6"/>
      <c r="AG527" s="6"/>
      <c r="AH527" s="6"/>
      <c r="AI527" s="6"/>
      <c r="AJ527" s="6"/>
      <c r="AK527" s="6"/>
      <c r="AL527" s="6"/>
      <c r="AM527" s="6"/>
      <c r="AN527" s="6"/>
      <c r="AO527" s="6"/>
    </row>
    <row r="528" spans="1:41" ht="14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15"/>
      <c r="AC528" s="15"/>
      <c r="AD528" s="15"/>
      <c r="AE528" s="15"/>
      <c r="AF528" s="6"/>
      <c r="AG528" s="6"/>
      <c r="AH528" s="6"/>
      <c r="AI528" s="6"/>
      <c r="AJ528" s="6"/>
      <c r="AK528" s="6"/>
      <c r="AL528" s="6"/>
      <c r="AM528" s="6"/>
      <c r="AN528" s="6"/>
      <c r="AO528" s="6"/>
    </row>
    <row r="529" spans="1:41" ht="14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15"/>
      <c r="AC529" s="15"/>
      <c r="AD529" s="15"/>
      <c r="AE529" s="15"/>
      <c r="AF529" s="6"/>
      <c r="AG529" s="6"/>
      <c r="AH529" s="6"/>
      <c r="AI529" s="6"/>
      <c r="AJ529" s="6"/>
      <c r="AK529" s="6"/>
      <c r="AL529" s="6"/>
      <c r="AM529" s="6"/>
      <c r="AN529" s="6"/>
      <c r="AO529" s="6"/>
    </row>
    <row r="530" spans="1:41" ht="14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15"/>
      <c r="AC530" s="15"/>
      <c r="AD530" s="15"/>
      <c r="AE530" s="15"/>
      <c r="AF530" s="6"/>
      <c r="AG530" s="6"/>
      <c r="AH530" s="6"/>
      <c r="AI530" s="6"/>
      <c r="AJ530" s="6"/>
      <c r="AK530" s="6"/>
      <c r="AL530" s="6"/>
      <c r="AM530" s="6"/>
      <c r="AN530" s="6"/>
      <c r="AO530" s="6"/>
    </row>
    <row r="531" spans="1:41" ht="14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15"/>
      <c r="AC531" s="15"/>
      <c r="AD531" s="15"/>
      <c r="AE531" s="15"/>
      <c r="AF531" s="6"/>
      <c r="AG531" s="6"/>
      <c r="AH531" s="6"/>
      <c r="AI531" s="6"/>
      <c r="AJ531" s="6"/>
      <c r="AK531" s="6"/>
      <c r="AL531" s="6"/>
      <c r="AM531" s="6"/>
      <c r="AN531" s="6"/>
      <c r="AO531" s="6"/>
    </row>
    <row r="532" spans="1:41" ht="14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15"/>
      <c r="AC532" s="15"/>
      <c r="AD532" s="15"/>
      <c r="AE532" s="15"/>
      <c r="AF532" s="6"/>
      <c r="AG532" s="6"/>
      <c r="AH532" s="6"/>
      <c r="AI532" s="6"/>
      <c r="AJ532" s="6"/>
      <c r="AK532" s="6"/>
      <c r="AL532" s="6"/>
      <c r="AM532" s="6"/>
      <c r="AN532" s="6"/>
      <c r="AO532" s="6"/>
    </row>
    <row r="533" spans="1:41" ht="14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15"/>
      <c r="AC533" s="15"/>
      <c r="AD533" s="15"/>
      <c r="AE533" s="15"/>
      <c r="AF533" s="6"/>
      <c r="AG533" s="6"/>
      <c r="AH533" s="6"/>
      <c r="AI533" s="6"/>
      <c r="AJ533" s="6"/>
      <c r="AK533" s="6"/>
      <c r="AL533" s="6"/>
      <c r="AM533" s="6"/>
      <c r="AN533" s="6"/>
      <c r="AO533" s="6"/>
    </row>
    <row r="534" spans="1:41" ht="14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15"/>
      <c r="AC534" s="15"/>
      <c r="AD534" s="15"/>
      <c r="AE534" s="15"/>
      <c r="AF534" s="6"/>
      <c r="AG534" s="6"/>
      <c r="AH534" s="6"/>
      <c r="AI534" s="6"/>
      <c r="AJ534" s="6"/>
      <c r="AK534" s="6"/>
      <c r="AL534" s="6"/>
      <c r="AM534" s="6"/>
      <c r="AN534" s="6"/>
      <c r="AO534" s="6"/>
    </row>
    <row r="535" spans="1:41" ht="14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15"/>
      <c r="AC535" s="15"/>
      <c r="AD535" s="15"/>
      <c r="AE535" s="15"/>
      <c r="AF535" s="6"/>
      <c r="AG535" s="6"/>
      <c r="AH535" s="6"/>
      <c r="AI535" s="6"/>
      <c r="AJ535" s="6"/>
      <c r="AK535" s="6"/>
      <c r="AL535" s="6"/>
      <c r="AM535" s="6"/>
      <c r="AN535" s="6"/>
      <c r="AO535" s="6"/>
    </row>
    <row r="536" spans="1:41" ht="14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15"/>
      <c r="AC536" s="15"/>
      <c r="AD536" s="15"/>
      <c r="AE536" s="15"/>
      <c r="AF536" s="6"/>
      <c r="AG536" s="6"/>
      <c r="AH536" s="6"/>
      <c r="AI536" s="6"/>
      <c r="AJ536" s="6"/>
      <c r="AK536" s="6"/>
      <c r="AL536" s="6"/>
      <c r="AM536" s="6"/>
      <c r="AN536" s="6"/>
      <c r="AO536" s="6"/>
    </row>
    <row r="537" spans="1:41" ht="14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15"/>
      <c r="AC537" s="15"/>
      <c r="AD537" s="15"/>
      <c r="AE537" s="15"/>
      <c r="AF537" s="6"/>
      <c r="AG537" s="6"/>
      <c r="AH537" s="6"/>
      <c r="AI537" s="6"/>
      <c r="AJ537" s="6"/>
      <c r="AK537" s="6"/>
      <c r="AL537" s="6"/>
      <c r="AM537" s="6"/>
      <c r="AN537" s="6"/>
      <c r="AO537" s="6"/>
    </row>
    <row r="538" spans="1:41" ht="14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15"/>
      <c r="AC538" s="15"/>
      <c r="AD538" s="15"/>
      <c r="AE538" s="15"/>
      <c r="AF538" s="6"/>
      <c r="AG538" s="6"/>
      <c r="AH538" s="6"/>
      <c r="AI538" s="6"/>
      <c r="AJ538" s="6"/>
      <c r="AK538" s="6"/>
      <c r="AL538" s="6"/>
      <c r="AM538" s="6"/>
      <c r="AN538" s="6"/>
      <c r="AO538" s="6"/>
    </row>
    <row r="539" spans="1:41" ht="14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15"/>
      <c r="AC539" s="15"/>
      <c r="AD539" s="15"/>
      <c r="AE539" s="15"/>
      <c r="AF539" s="6"/>
      <c r="AG539" s="6"/>
      <c r="AH539" s="6"/>
      <c r="AI539" s="6"/>
      <c r="AJ539" s="6"/>
      <c r="AK539" s="6"/>
      <c r="AL539" s="6"/>
      <c r="AM539" s="6"/>
      <c r="AN539" s="6"/>
      <c r="AO539" s="6"/>
    </row>
    <row r="540" spans="1:41" ht="14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15"/>
      <c r="AC540" s="15"/>
      <c r="AD540" s="15"/>
      <c r="AE540" s="15"/>
      <c r="AF540" s="6"/>
      <c r="AG540" s="6"/>
      <c r="AH540" s="6"/>
      <c r="AI540" s="6"/>
      <c r="AJ540" s="6"/>
      <c r="AK540" s="6"/>
      <c r="AL540" s="6"/>
      <c r="AM540" s="6"/>
      <c r="AN540" s="6"/>
      <c r="AO540" s="6"/>
    </row>
    <row r="541" spans="1:41" ht="14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15"/>
      <c r="AC541" s="15"/>
      <c r="AD541" s="15"/>
      <c r="AE541" s="15"/>
      <c r="AF541" s="6"/>
      <c r="AG541" s="6"/>
      <c r="AH541" s="6"/>
      <c r="AI541" s="6"/>
      <c r="AJ541" s="6"/>
      <c r="AK541" s="6"/>
      <c r="AL541" s="6"/>
      <c r="AM541" s="6"/>
      <c r="AN541" s="6"/>
      <c r="AO541" s="6"/>
    </row>
    <row r="542" spans="1:41" ht="14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15"/>
      <c r="AC542" s="15"/>
      <c r="AD542" s="15"/>
      <c r="AE542" s="15"/>
      <c r="AF542" s="6"/>
      <c r="AG542" s="6"/>
      <c r="AH542" s="6"/>
      <c r="AI542" s="6"/>
      <c r="AJ542" s="6"/>
      <c r="AK542" s="6"/>
      <c r="AL542" s="6"/>
      <c r="AM542" s="6"/>
      <c r="AN542" s="6"/>
      <c r="AO542" s="6"/>
    </row>
    <row r="543" spans="1:41" ht="14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15"/>
      <c r="AC543" s="15"/>
      <c r="AD543" s="15"/>
      <c r="AE543" s="15"/>
      <c r="AF543" s="6"/>
      <c r="AG543" s="6"/>
      <c r="AH543" s="6"/>
      <c r="AI543" s="6"/>
      <c r="AJ543" s="6"/>
      <c r="AK543" s="6"/>
      <c r="AL543" s="6"/>
      <c r="AM543" s="6"/>
      <c r="AN543" s="6"/>
      <c r="AO543" s="6"/>
    </row>
    <row r="544" spans="1:41" ht="14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15"/>
      <c r="AC544" s="15"/>
      <c r="AD544" s="15"/>
      <c r="AE544" s="15"/>
      <c r="AF544" s="6"/>
      <c r="AG544" s="6"/>
      <c r="AH544" s="6"/>
      <c r="AI544" s="6"/>
      <c r="AJ544" s="6"/>
      <c r="AK544" s="6"/>
      <c r="AL544" s="6"/>
      <c r="AM544" s="6"/>
      <c r="AN544" s="6"/>
      <c r="AO544" s="6"/>
    </row>
    <row r="545" spans="1:41" ht="14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15"/>
      <c r="AC545" s="15"/>
      <c r="AD545" s="15"/>
      <c r="AE545" s="15"/>
      <c r="AF545" s="6"/>
      <c r="AG545" s="6"/>
      <c r="AH545" s="6"/>
      <c r="AI545" s="6"/>
      <c r="AJ545" s="6"/>
      <c r="AK545" s="6"/>
      <c r="AL545" s="6"/>
      <c r="AM545" s="6"/>
      <c r="AN545" s="6"/>
      <c r="AO545" s="6"/>
    </row>
    <row r="546" spans="1:41" ht="14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15"/>
      <c r="AC546" s="15"/>
      <c r="AD546" s="15"/>
      <c r="AE546" s="15"/>
      <c r="AF546" s="6"/>
      <c r="AG546" s="6"/>
      <c r="AH546" s="6"/>
      <c r="AI546" s="6"/>
      <c r="AJ546" s="6"/>
      <c r="AK546" s="6"/>
      <c r="AL546" s="6"/>
      <c r="AM546" s="6"/>
      <c r="AN546" s="6"/>
      <c r="AO546" s="6"/>
    </row>
    <row r="547" spans="1:41" ht="14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15"/>
      <c r="AC547" s="15"/>
      <c r="AD547" s="15"/>
      <c r="AE547" s="15"/>
      <c r="AF547" s="6"/>
      <c r="AG547" s="6"/>
      <c r="AH547" s="6"/>
      <c r="AI547" s="6"/>
      <c r="AJ547" s="6"/>
      <c r="AK547" s="6"/>
      <c r="AL547" s="6"/>
      <c r="AM547" s="6"/>
      <c r="AN547" s="6"/>
      <c r="AO547" s="6"/>
    </row>
    <row r="548" spans="1:41" ht="14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15"/>
      <c r="AC548" s="15"/>
      <c r="AD548" s="15"/>
      <c r="AE548" s="15"/>
      <c r="AF548" s="6"/>
      <c r="AG548" s="6"/>
      <c r="AH548" s="6"/>
      <c r="AI548" s="6"/>
      <c r="AJ548" s="6"/>
      <c r="AK548" s="6"/>
      <c r="AL548" s="6"/>
      <c r="AM548" s="6"/>
      <c r="AN548" s="6"/>
      <c r="AO548" s="6"/>
    </row>
    <row r="549" spans="1:41" ht="14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15"/>
      <c r="AC549" s="15"/>
      <c r="AD549" s="15"/>
      <c r="AE549" s="15"/>
      <c r="AF549" s="6"/>
      <c r="AG549" s="6"/>
      <c r="AH549" s="6"/>
      <c r="AI549" s="6"/>
      <c r="AJ549" s="6"/>
      <c r="AK549" s="6"/>
      <c r="AL549" s="6"/>
      <c r="AM549" s="6"/>
      <c r="AN549" s="6"/>
      <c r="AO549" s="6"/>
    </row>
    <row r="550" spans="1:41" ht="14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15"/>
      <c r="AC550" s="15"/>
      <c r="AD550" s="15"/>
      <c r="AE550" s="15"/>
      <c r="AF550" s="6"/>
      <c r="AG550" s="6"/>
      <c r="AH550" s="6"/>
      <c r="AI550" s="6"/>
      <c r="AJ550" s="6"/>
      <c r="AK550" s="6"/>
      <c r="AL550" s="6"/>
      <c r="AM550" s="6"/>
      <c r="AN550" s="6"/>
      <c r="AO550" s="6"/>
    </row>
    <row r="551" spans="1:41" ht="14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15"/>
      <c r="AC551" s="15"/>
      <c r="AD551" s="15"/>
      <c r="AE551" s="15"/>
      <c r="AF551" s="6"/>
      <c r="AG551" s="6"/>
      <c r="AH551" s="6"/>
      <c r="AI551" s="6"/>
      <c r="AJ551" s="6"/>
      <c r="AK551" s="6"/>
      <c r="AL551" s="6"/>
      <c r="AM551" s="6"/>
      <c r="AN551" s="6"/>
      <c r="AO551" s="6"/>
    </row>
    <row r="552" spans="1:41" ht="14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15"/>
      <c r="AC552" s="15"/>
      <c r="AD552" s="15"/>
      <c r="AE552" s="15"/>
      <c r="AF552" s="6"/>
      <c r="AG552" s="6"/>
      <c r="AH552" s="6"/>
      <c r="AI552" s="6"/>
      <c r="AJ552" s="6"/>
      <c r="AK552" s="6"/>
      <c r="AL552" s="6"/>
      <c r="AM552" s="6"/>
      <c r="AN552" s="6"/>
      <c r="AO552" s="6"/>
    </row>
    <row r="553" spans="1:41" ht="14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15"/>
      <c r="AC553" s="15"/>
      <c r="AD553" s="15"/>
      <c r="AE553" s="15"/>
      <c r="AF553" s="6"/>
      <c r="AG553" s="6"/>
      <c r="AH553" s="6"/>
      <c r="AI553" s="6"/>
      <c r="AJ553" s="6"/>
      <c r="AK553" s="6"/>
      <c r="AL553" s="6"/>
      <c r="AM553" s="6"/>
      <c r="AN553" s="6"/>
      <c r="AO553" s="6"/>
    </row>
    <row r="554" spans="1:41" ht="14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15"/>
      <c r="AC554" s="15"/>
      <c r="AD554" s="15"/>
      <c r="AE554" s="15"/>
      <c r="AF554" s="6"/>
      <c r="AG554" s="6"/>
      <c r="AH554" s="6"/>
      <c r="AI554" s="6"/>
      <c r="AJ554" s="6"/>
      <c r="AK554" s="6"/>
      <c r="AL554" s="6"/>
      <c r="AM554" s="6"/>
      <c r="AN554" s="6"/>
      <c r="AO554" s="6"/>
    </row>
    <row r="555" spans="1:41" ht="14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15"/>
      <c r="AC555" s="15"/>
      <c r="AD555" s="15"/>
      <c r="AE555" s="15"/>
      <c r="AF555" s="6"/>
      <c r="AG555" s="6"/>
      <c r="AH555" s="6"/>
      <c r="AI555" s="6"/>
      <c r="AJ555" s="6"/>
      <c r="AK555" s="6"/>
      <c r="AL555" s="6"/>
      <c r="AM555" s="6"/>
      <c r="AN555" s="6"/>
      <c r="AO555" s="6"/>
    </row>
    <row r="556" spans="1:41" ht="14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15"/>
      <c r="AC556" s="15"/>
      <c r="AD556" s="15"/>
      <c r="AE556" s="15"/>
      <c r="AF556" s="6"/>
      <c r="AG556" s="6"/>
      <c r="AH556" s="6"/>
      <c r="AI556" s="6"/>
      <c r="AJ556" s="6"/>
      <c r="AK556" s="6"/>
      <c r="AL556" s="6"/>
      <c r="AM556" s="6"/>
      <c r="AN556" s="6"/>
      <c r="AO556" s="6"/>
    </row>
    <row r="557" spans="1:41" ht="14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15"/>
      <c r="AC557" s="15"/>
      <c r="AD557" s="15"/>
      <c r="AE557" s="15"/>
      <c r="AF557" s="6"/>
      <c r="AG557" s="6"/>
      <c r="AH557" s="6"/>
      <c r="AI557" s="6"/>
      <c r="AJ557" s="6"/>
      <c r="AK557" s="6"/>
      <c r="AL557" s="6"/>
      <c r="AM557" s="6"/>
      <c r="AN557" s="6"/>
      <c r="AO557" s="6"/>
    </row>
    <row r="558" spans="1:41" ht="14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15"/>
      <c r="AC558" s="15"/>
      <c r="AD558" s="15"/>
      <c r="AE558" s="15"/>
      <c r="AF558" s="6"/>
      <c r="AG558" s="6"/>
      <c r="AH558" s="6"/>
      <c r="AI558" s="6"/>
      <c r="AJ558" s="6"/>
      <c r="AK558" s="6"/>
      <c r="AL558" s="6"/>
      <c r="AM558" s="6"/>
      <c r="AN558" s="6"/>
      <c r="AO558" s="6"/>
    </row>
    <row r="559" spans="1:41" ht="14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15"/>
      <c r="AC559" s="15"/>
      <c r="AD559" s="15"/>
      <c r="AE559" s="15"/>
      <c r="AF559" s="6"/>
      <c r="AG559" s="6"/>
      <c r="AH559" s="6"/>
      <c r="AI559" s="6"/>
      <c r="AJ559" s="6"/>
      <c r="AK559" s="6"/>
      <c r="AL559" s="6"/>
      <c r="AM559" s="6"/>
      <c r="AN559" s="6"/>
      <c r="AO559" s="6"/>
    </row>
    <row r="560" spans="1:41" ht="14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15"/>
      <c r="AC560" s="15"/>
      <c r="AD560" s="15"/>
      <c r="AE560" s="15"/>
      <c r="AF560" s="6"/>
      <c r="AG560" s="6"/>
      <c r="AH560" s="6"/>
      <c r="AI560" s="6"/>
      <c r="AJ560" s="6"/>
      <c r="AK560" s="6"/>
      <c r="AL560" s="6"/>
      <c r="AM560" s="6"/>
      <c r="AN560" s="6"/>
      <c r="AO560" s="6"/>
    </row>
    <row r="561" spans="1:41" ht="14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15"/>
      <c r="AC561" s="15"/>
      <c r="AD561" s="15"/>
      <c r="AE561" s="15"/>
      <c r="AF561" s="6"/>
      <c r="AG561" s="6"/>
      <c r="AH561" s="6"/>
      <c r="AI561" s="6"/>
      <c r="AJ561" s="6"/>
      <c r="AK561" s="6"/>
      <c r="AL561" s="6"/>
      <c r="AM561" s="6"/>
      <c r="AN561" s="6"/>
      <c r="AO561" s="6"/>
    </row>
    <row r="562" spans="1:41" ht="14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15"/>
      <c r="AC562" s="15"/>
      <c r="AD562" s="15"/>
      <c r="AE562" s="15"/>
      <c r="AF562" s="6"/>
      <c r="AG562" s="6"/>
      <c r="AH562" s="6"/>
      <c r="AI562" s="6"/>
      <c r="AJ562" s="6"/>
      <c r="AK562" s="6"/>
      <c r="AL562" s="6"/>
      <c r="AM562" s="6"/>
      <c r="AN562" s="6"/>
      <c r="AO562" s="6"/>
    </row>
    <row r="563" spans="1:41" ht="14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15"/>
      <c r="AC563" s="15"/>
      <c r="AD563" s="15"/>
      <c r="AE563" s="15"/>
      <c r="AF563" s="6"/>
      <c r="AG563" s="6"/>
      <c r="AH563" s="6"/>
      <c r="AI563" s="6"/>
      <c r="AJ563" s="6"/>
      <c r="AK563" s="6"/>
      <c r="AL563" s="6"/>
      <c r="AM563" s="6"/>
      <c r="AN563" s="6"/>
      <c r="AO563" s="6"/>
    </row>
    <row r="564" spans="1:41" ht="14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15"/>
      <c r="AC564" s="15"/>
      <c r="AD564" s="15"/>
      <c r="AE564" s="15"/>
      <c r="AF564" s="6"/>
      <c r="AG564" s="6"/>
      <c r="AH564" s="6"/>
      <c r="AI564" s="6"/>
      <c r="AJ564" s="6"/>
      <c r="AK564" s="6"/>
      <c r="AL564" s="6"/>
      <c r="AM564" s="6"/>
      <c r="AN564" s="6"/>
      <c r="AO564" s="6"/>
    </row>
    <row r="565" spans="1:41" ht="14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15"/>
      <c r="AC565" s="15"/>
      <c r="AD565" s="15"/>
      <c r="AE565" s="15"/>
      <c r="AF565" s="6"/>
      <c r="AG565" s="6"/>
      <c r="AH565" s="6"/>
      <c r="AI565" s="6"/>
      <c r="AJ565" s="6"/>
      <c r="AK565" s="6"/>
      <c r="AL565" s="6"/>
      <c r="AM565" s="6"/>
      <c r="AN565" s="6"/>
      <c r="AO565" s="6"/>
    </row>
    <row r="566" spans="1:41" ht="14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15"/>
      <c r="AC566" s="15"/>
      <c r="AD566" s="15"/>
      <c r="AE566" s="15"/>
      <c r="AF566" s="6"/>
      <c r="AG566" s="6"/>
      <c r="AH566" s="6"/>
      <c r="AI566" s="6"/>
      <c r="AJ566" s="6"/>
      <c r="AK566" s="6"/>
      <c r="AL566" s="6"/>
      <c r="AM566" s="6"/>
      <c r="AN566" s="6"/>
      <c r="AO566" s="6"/>
    </row>
    <row r="567" spans="1:41" ht="14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15"/>
      <c r="AC567" s="15"/>
      <c r="AD567" s="15"/>
      <c r="AE567" s="15"/>
      <c r="AF567" s="6"/>
      <c r="AG567" s="6"/>
      <c r="AH567" s="6"/>
      <c r="AI567" s="6"/>
      <c r="AJ567" s="6"/>
      <c r="AK567" s="6"/>
      <c r="AL567" s="6"/>
      <c r="AM567" s="6"/>
      <c r="AN567" s="6"/>
      <c r="AO567" s="6"/>
    </row>
    <row r="568" spans="1:41" ht="14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15"/>
      <c r="AC568" s="15"/>
      <c r="AD568" s="15"/>
      <c r="AE568" s="15"/>
      <c r="AF568" s="6"/>
      <c r="AG568" s="6"/>
      <c r="AH568" s="6"/>
      <c r="AI568" s="6"/>
      <c r="AJ568" s="6"/>
      <c r="AK568" s="6"/>
      <c r="AL568" s="6"/>
      <c r="AM568" s="6"/>
      <c r="AN568" s="6"/>
      <c r="AO568" s="6"/>
    </row>
    <row r="569" spans="1:41" ht="14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15"/>
      <c r="AC569" s="15"/>
      <c r="AD569" s="15"/>
      <c r="AE569" s="15"/>
      <c r="AF569" s="6"/>
      <c r="AG569" s="6"/>
      <c r="AH569" s="6"/>
      <c r="AI569" s="6"/>
      <c r="AJ569" s="6"/>
      <c r="AK569" s="6"/>
      <c r="AL569" s="6"/>
      <c r="AM569" s="6"/>
      <c r="AN569" s="6"/>
      <c r="AO569" s="6"/>
    </row>
    <row r="570" spans="1:41" ht="14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15"/>
      <c r="AC570" s="15"/>
      <c r="AD570" s="15"/>
      <c r="AE570" s="15"/>
      <c r="AF570" s="6"/>
      <c r="AG570" s="6"/>
      <c r="AH570" s="6"/>
      <c r="AI570" s="6"/>
      <c r="AJ570" s="6"/>
      <c r="AK570" s="6"/>
      <c r="AL570" s="6"/>
      <c r="AM570" s="6"/>
      <c r="AN570" s="6"/>
      <c r="AO570" s="6"/>
    </row>
    <row r="571" spans="1:41" ht="14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15"/>
      <c r="AC571" s="15"/>
      <c r="AD571" s="15"/>
      <c r="AE571" s="15"/>
      <c r="AF571" s="6"/>
      <c r="AG571" s="6"/>
      <c r="AH571" s="6"/>
      <c r="AI571" s="6"/>
      <c r="AJ571" s="6"/>
      <c r="AK571" s="6"/>
      <c r="AL571" s="6"/>
      <c r="AM571" s="6"/>
      <c r="AN571" s="6"/>
      <c r="AO571" s="6"/>
    </row>
    <row r="572" spans="1:41" ht="14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15"/>
      <c r="AC572" s="15"/>
      <c r="AD572" s="15"/>
      <c r="AE572" s="15"/>
      <c r="AF572" s="6"/>
      <c r="AG572" s="6"/>
      <c r="AH572" s="6"/>
      <c r="AI572" s="6"/>
      <c r="AJ572" s="6"/>
      <c r="AK572" s="6"/>
      <c r="AL572" s="6"/>
      <c r="AM572" s="6"/>
      <c r="AN572" s="6"/>
      <c r="AO572" s="6"/>
    </row>
    <row r="573" spans="1:41" ht="14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15"/>
      <c r="AC573" s="15"/>
      <c r="AD573" s="15"/>
      <c r="AE573" s="15"/>
      <c r="AF573" s="6"/>
      <c r="AG573" s="6"/>
      <c r="AH573" s="6"/>
      <c r="AI573" s="6"/>
      <c r="AJ573" s="6"/>
      <c r="AK573" s="6"/>
      <c r="AL573" s="6"/>
      <c r="AM573" s="6"/>
      <c r="AN573" s="6"/>
      <c r="AO573" s="6"/>
    </row>
    <row r="574" spans="1:41" ht="14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15"/>
      <c r="AC574" s="15"/>
      <c r="AD574" s="15"/>
      <c r="AE574" s="15"/>
      <c r="AF574" s="6"/>
      <c r="AG574" s="6"/>
      <c r="AH574" s="6"/>
      <c r="AI574" s="6"/>
      <c r="AJ574" s="6"/>
      <c r="AK574" s="6"/>
      <c r="AL574" s="6"/>
      <c r="AM574" s="6"/>
      <c r="AN574" s="6"/>
      <c r="AO574" s="6"/>
    </row>
    <row r="575" spans="1:41" ht="14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15"/>
      <c r="AC575" s="15"/>
      <c r="AD575" s="15"/>
      <c r="AE575" s="15"/>
      <c r="AF575" s="6"/>
      <c r="AG575" s="6"/>
      <c r="AH575" s="6"/>
      <c r="AI575" s="6"/>
      <c r="AJ575" s="6"/>
      <c r="AK575" s="6"/>
      <c r="AL575" s="6"/>
      <c r="AM575" s="6"/>
      <c r="AN575" s="6"/>
      <c r="AO575" s="6"/>
    </row>
    <row r="576" spans="1:41" ht="14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15"/>
      <c r="AC576" s="15"/>
      <c r="AD576" s="15"/>
      <c r="AE576" s="15"/>
      <c r="AF576" s="6"/>
      <c r="AG576" s="6"/>
      <c r="AH576" s="6"/>
      <c r="AI576" s="6"/>
      <c r="AJ576" s="6"/>
      <c r="AK576" s="6"/>
      <c r="AL576" s="6"/>
      <c r="AM576" s="6"/>
      <c r="AN576" s="6"/>
      <c r="AO576" s="6"/>
    </row>
    <row r="577" spans="1:41" ht="14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15"/>
      <c r="AC577" s="15"/>
      <c r="AD577" s="15"/>
      <c r="AE577" s="15"/>
      <c r="AF577" s="6"/>
      <c r="AG577" s="6"/>
      <c r="AH577" s="6"/>
      <c r="AI577" s="6"/>
      <c r="AJ577" s="6"/>
      <c r="AK577" s="6"/>
      <c r="AL577" s="6"/>
      <c r="AM577" s="6"/>
      <c r="AN577" s="6"/>
      <c r="AO577" s="6"/>
    </row>
    <row r="578" spans="1:41" ht="14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15"/>
      <c r="AC578" s="15"/>
      <c r="AD578" s="15"/>
      <c r="AE578" s="15"/>
      <c r="AF578" s="6"/>
      <c r="AG578" s="6"/>
      <c r="AH578" s="6"/>
      <c r="AI578" s="6"/>
      <c r="AJ578" s="6"/>
      <c r="AK578" s="6"/>
      <c r="AL578" s="6"/>
      <c r="AM578" s="6"/>
      <c r="AN578" s="6"/>
      <c r="AO578" s="6"/>
    </row>
    <row r="579" spans="1:41" ht="14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15"/>
      <c r="AC579" s="15"/>
      <c r="AD579" s="15"/>
      <c r="AE579" s="15"/>
      <c r="AF579" s="6"/>
      <c r="AG579" s="6"/>
      <c r="AH579" s="6"/>
      <c r="AI579" s="6"/>
      <c r="AJ579" s="6"/>
      <c r="AK579" s="6"/>
      <c r="AL579" s="6"/>
      <c r="AM579" s="6"/>
      <c r="AN579" s="6"/>
      <c r="AO579" s="6"/>
    </row>
    <row r="580" spans="1:41" ht="14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15"/>
      <c r="AC580" s="15"/>
      <c r="AD580" s="15"/>
      <c r="AE580" s="15"/>
      <c r="AF580" s="6"/>
      <c r="AG580" s="6"/>
      <c r="AH580" s="6"/>
      <c r="AI580" s="6"/>
      <c r="AJ580" s="6"/>
      <c r="AK580" s="6"/>
      <c r="AL580" s="6"/>
      <c r="AM580" s="6"/>
      <c r="AN580" s="6"/>
      <c r="AO580" s="6"/>
    </row>
    <row r="581" spans="1:41" ht="14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15"/>
      <c r="AC581" s="15"/>
      <c r="AD581" s="15"/>
      <c r="AE581" s="15"/>
      <c r="AF581" s="6"/>
      <c r="AG581" s="6"/>
      <c r="AH581" s="6"/>
      <c r="AI581" s="6"/>
      <c r="AJ581" s="6"/>
      <c r="AK581" s="6"/>
      <c r="AL581" s="6"/>
      <c r="AM581" s="6"/>
      <c r="AN581" s="6"/>
      <c r="AO581" s="6"/>
    </row>
    <row r="582" spans="1:41" ht="14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15"/>
      <c r="AC582" s="15"/>
      <c r="AD582" s="15"/>
      <c r="AE582" s="15"/>
      <c r="AF582" s="6"/>
      <c r="AG582" s="6"/>
      <c r="AH582" s="6"/>
      <c r="AI582" s="6"/>
      <c r="AJ582" s="6"/>
      <c r="AK582" s="6"/>
      <c r="AL582" s="6"/>
      <c r="AM582" s="6"/>
      <c r="AN582" s="6"/>
      <c r="AO582" s="6"/>
    </row>
    <row r="583" spans="1:41" ht="14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15"/>
      <c r="AC583" s="15"/>
      <c r="AD583" s="15"/>
      <c r="AE583" s="15"/>
      <c r="AF583" s="6"/>
      <c r="AG583" s="6"/>
      <c r="AH583" s="6"/>
      <c r="AI583" s="6"/>
      <c r="AJ583" s="6"/>
      <c r="AK583" s="6"/>
      <c r="AL583" s="6"/>
      <c r="AM583" s="6"/>
      <c r="AN583" s="6"/>
      <c r="AO583" s="6"/>
    </row>
    <row r="584" spans="1:41" ht="14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15"/>
      <c r="AC584" s="15"/>
      <c r="AD584" s="15"/>
      <c r="AE584" s="15"/>
      <c r="AF584" s="6"/>
      <c r="AG584" s="6"/>
      <c r="AH584" s="6"/>
      <c r="AI584" s="6"/>
      <c r="AJ584" s="6"/>
      <c r="AK584" s="6"/>
      <c r="AL584" s="6"/>
      <c r="AM584" s="6"/>
      <c r="AN584" s="6"/>
      <c r="AO584" s="6"/>
    </row>
    <row r="585" spans="1:41" ht="14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15"/>
      <c r="AC585" s="15"/>
      <c r="AD585" s="15"/>
      <c r="AE585" s="15"/>
      <c r="AF585" s="6"/>
      <c r="AG585" s="6"/>
      <c r="AH585" s="6"/>
      <c r="AI585" s="6"/>
      <c r="AJ585" s="6"/>
      <c r="AK585" s="6"/>
      <c r="AL585" s="6"/>
      <c r="AM585" s="6"/>
      <c r="AN585" s="6"/>
      <c r="AO585" s="6"/>
    </row>
    <row r="586" spans="1:41" ht="14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15"/>
      <c r="AC586" s="15"/>
      <c r="AD586" s="15"/>
      <c r="AE586" s="15"/>
      <c r="AF586" s="6"/>
      <c r="AG586" s="6"/>
      <c r="AH586" s="6"/>
      <c r="AI586" s="6"/>
      <c r="AJ586" s="6"/>
      <c r="AK586" s="6"/>
      <c r="AL586" s="6"/>
      <c r="AM586" s="6"/>
      <c r="AN586" s="6"/>
      <c r="AO586" s="6"/>
    </row>
    <row r="587" spans="1:41" ht="14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15"/>
      <c r="AC587" s="15"/>
      <c r="AD587" s="15"/>
      <c r="AE587" s="15"/>
      <c r="AF587" s="6"/>
      <c r="AG587" s="6"/>
      <c r="AH587" s="6"/>
      <c r="AI587" s="6"/>
      <c r="AJ587" s="6"/>
      <c r="AK587" s="6"/>
      <c r="AL587" s="6"/>
      <c r="AM587" s="6"/>
      <c r="AN587" s="6"/>
      <c r="AO587" s="6"/>
    </row>
    <row r="588" spans="1:41" ht="14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15"/>
      <c r="AC588" s="15"/>
      <c r="AD588" s="15"/>
      <c r="AE588" s="15"/>
      <c r="AF588" s="6"/>
      <c r="AG588" s="6"/>
      <c r="AH588" s="6"/>
      <c r="AI588" s="6"/>
      <c r="AJ588" s="6"/>
      <c r="AK588" s="6"/>
      <c r="AL588" s="6"/>
      <c r="AM588" s="6"/>
      <c r="AN588" s="6"/>
      <c r="AO588" s="6"/>
    </row>
    <row r="589" spans="1:41" ht="14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15"/>
      <c r="AC589" s="15"/>
      <c r="AD589" s="15"/>
      <c r="AE589" s="15"/>
      <c r="AF589" s="6"/>
      <c r="AG589" s="6"/>
      <c r="AH589" s="6"/>
      <c r="AI589" s="6"/>
      <c r="AJ589" s="6"/>
      <c r="AK589" s="6"/>
      <c r="AL589" s="6"/>
      <c r="AM589" s="6"/>
      <c r="AN589" s="6"/>
      <c r="AO589" s="6"/>
    </row>
    <row r="590" spans="1:41" ht="14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15"/>
      <c r="AC590" s="15"/>
      <c r="AD590" s="15"/>
      <c r="AE590" s="15"/>
      <c r="AF590" s="6"/>
      <c r="AG590" s="6"/>
      <c r="AH590" s="6"/>
      <c r="AI590" s="6"/>
      <c r="AJ590" s="6"/>
      <c r="AK590" s="6"/>
      <c r="AL590" s="6"/>
      <c r="AM590" s="6"/>
      <c r="AN590" s="6"/>
      <c r="AO590" s="6"/>
    </row>
    <row r="591" spans="1:41" ht="14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15"/>
      <c r="AC591" s="15"/>
      <c r="AD591" s="15"/>
      <c r="AE591" s="15"/>
      <c r="AF591" s="6"/>
      <c r="AG591" s="6"/>
      <c r="AH591" s="6"/>
      <c r="AI591" s="6"/>
      <c r="AJ591" s="6"/>
      <c r="AK591" s="6"/>
      <c r="AL591" s="6"/>
      <c r="AM591" s="6"/>
      <c r="AN591" s="6"/>
      <c r="AO591" s="6"/>
    </row>
    <row r="592" spans="1:41" ht="14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15"/>
      <c r="AC592" s="15"/>
      <c r="AD592" s="15"/>
      <c r="AE592" s="15"/>
      <c r="AF592" s="6"/>
      <c r="AG592" s="6"/>
      <c r="AH592" s="6"/>
      <c r="AI592" s="6"/>
      <c r="AJ592" s="6"/>
      <c r="AK592" s="6"/>
      <c r="AL592" s="6"/>
      <c r="AM592" s="6"/>
      <c r="AN592" s="6"/>
      <c r="AO592" s="6"/>
    </row>
    <row r="593" spans="1:41" ht="14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15"/>
      <c r="AC593" s="15"/>
      <c r="AD593" s="15"/>
      <c r="AE593" s="15"/>
      <c r="AF593" s="6"/>
      <c r="AG593" s="6"/>
      <c r="AH593" s="6"/>
      <c r="AI593" s="6"/>
      <c r="AJ593" s="6"/>
      <c r="AK593" s="6"/>
      <c r="AL593" s="6"/>
      <c r="AM593" s="6"/>
      <c r="AN593" s="6"/>
      <c r="AO593" s="6"/>
    </row>
    <row r="594" spans="1:41" ht="14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15"/>
      <c r="AC594" s="15"/>
      <c r="AD594" s="15"/>
      <c r="AE594" s="15"/>
      <c r="AF594" s="6"/>
      <c r="AG594" s="6"/>
      <c r="AH594" s="6"/>
      <c r="AI594" s="6"/>
      <c r="AJ594" s="6"/>
      <c r="AK594" s="6"/>
      <c r="AL594" s="6"/>
      <c r="AM594" s="6"/>
      <c r="AN594" s="6"/>
      <c r="AO594" s="6"/>
    </row>
    <row r="595" spans="1:41" ht="14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15"/>
      <c r="AC595" s="15"/>
      <c r="AD595" s="15"/>
      <c r="AE595" s="15"/>
      <c r="AF595" s="6"/>
      <c r="AG595" s="6"/>
      <c r="AH595" s="6"/>
      <c r="AI595" s="6"/>
      <c r="AJ595" s="6"/>
      <c r="AK595" s="6"/>
      <c r="AL595" s="6"/>
      <c r="AM595" s="6"/>
      <c r="AN595" s="6"/>
      <c r="AO595" s="6"/>
    </row>
    <row r="596" spans="1:41" ht="14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15"/>
      <c r="AC596" s="15"/>
      <c r="AD596" s="15"/>
      <c r="AE596" s="15"/>
      <c r="AF596" s="6"/>
      <c r="AG596" s="6"/>
      <c r="AH596" s="6"/>
      <c r="AI596" s="6"/>
      <c r="AJ596" s="6"/>
      <c r="AK596" s="6"/>
      <c r="AL596" s="6"/>
      <c r="AM596" s="6"/>
      <c r="AN596" s="6"/>
      <c r="AO596" s="6"/>
    </row>
    <row r="597" spans="1:41" ht="14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15"/>
      <c r="AC597" s="15"/>
      <c r="AD597" s="15"/>
      <c r="AE597" s="15"/>
      <c r="AF597" s="6"/>
      <c r="AG597" s="6"/>
      <c r="AH597" s="6"/>
      <c r="AI597" s="6"/>
      <c r="AJ597" s="6"/>
      <c r="AK597" s="6"/>
      <c r="AL597" s="6"/>
      <c r="AM597" s="6"/>
      <c r="AN597" s="6"/>
      <c r="AO597" s="6"/>
    </row>
    <row r="598" spans="1:41" ht="14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15"/>
      <c r="AC598" s="15"/>
      <c r="AD598" s="15"/>
      <c r="AE598" s="15"/>
      <c r="AF598" s="6"/>
      <c r="AG598" s="6"/>
      <c r="AH598" s="6"/>
      <c r="AI598" s="6"/>
      <c r="AJ598" s="6"/>
      <c r="AK598" s="6"/>
      <c r="AL598" s="6"/>
      <c r="AM598" s="6"/>
      <c r="AN598" s="6"/>
      <c r="AO598" s="6"/>
    </row>
    <row r="599" spans="1:41" ht="14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15"/>
      <c r="AC599" s="15"/>
      <c r="AD599" s="15"/>
      <c r="AE599" s="15"/>
      <c r="AF599" s="6"/>
      <c r="AG599" s="6"/>
      <c r="AH599" s="6"/>
      <c r="AI599" s="6"/>
      <c r="AJ599" s="6"/>
      <c r="AK599" s="6"/>
      <c r="AL599" s="6"/>
      <c r="AM599" s="6"/>
      <c r="AN599" s="6"/>
      <c r="AO599" s="6"/>
    </row>
    <row r="600" spans="1:41" ht="14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15"/>
      <c r="AC600" s="15"/>
      <c r="AD600" s="15"/>
      <c r="AE600" s="15"/>
      <c r="AF600" s="6"/>
      <c r="AG600" s="6"/>
      <c r="AH600" s="6"/>
      <c r="AI600" s="6"/>
      <c r="AJ600" s="6"/>
      <c r="AK600" s="6"/>
      <c r="AL600" s="6"/>
      <c r="AM600" s="6"/>
      <c r="AN600" s="6"/>
      <c r="AO600" s="6"/>
    </row>
    <row r="601" spans="1:41" ht="14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15"/>
      <c r="AC601" s="15"/>
      <c r="AD601" s="15"/>
      <c r="AE601" s="15"/>
      <c r="AF601" s="6"/>
      <c r="AG601" s="6"/>
      <c r="AH601" s="6"/>
      <c r="AI601" s="6"/>
      <c r="AJ601" s="6"/>
      <c r="AK601" s="6"/>
      <c r="AL601" s="6"/>
      <c r="AM601" s="6"/>
      <c r="AN601" s="6"/>
      <c r="AO601" s="6"/>
    </row>
    <row r="602" spans="1:41" ht="14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15"/>
      <c r="AC602" s="15"/>
      <c r="AD602" s="15"/>
      <c r="AE602" s="15"/>
      <c r="AF602" s="6"/>
      <c r="AG602" s="6"/>
      <c r="AH602" s="6"/>
      <c r="AI602" s="6"/>
      <c r="AJ602" s="6"/>
      <c r="AK602" s="6"/>
      <c r="AL602" s="6"/>
      <c r="AM602" s="6"/>
      <c r="AN602" s="6"/>
      <c r="AO602" s="6"/>
    </row>
    <row r="603" spans="1:41" ht="14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15"/>
      <c r="AC603" s="15"/>
      <c r="AD603" s="15"/>
      <c r="AE603" s="15"/>
      <c r="AF603" s="6"/>
      <c r="AG603" s="6"/>
      <c r="AH603" s="6"/>
      <c r="AI603" s="6"/>
      <c r="AJ603" s="6"/>
      <c r="AK603" s="6"/>
      <c r="AL603" s="6"/>
      <c r="AM603" s="6"/>
      <c r="AN603" s="6"/>
      <c r="AO603" s="6"/>
    </row>
    <row r="604" spans="1:41" ht="14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15"/>
      <c r="AC604" s="15"/>
      <c r="AD604" s="15"/>
      <c r="AE604" s="15"/>
      <c r="AF604" s="6"/>
      <c r="AG604" s="6"/>
      <c r="AH604" s="6"/>
      <c r="AI604" s="6"/>
      <c r="AJ604" s="6"/>
      <c r="AK604" s="6"/>
      <c r="AL604" s="6"/>
      <c r="AM604" s="6"/>
      <c r="AN604" s="6"/>
      <c r="AO604" s="6"/>
    </row>
    <row r="605" spans="1:41" ht="14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15"/>
      <c r="AC605" s="15"/>
      <c r="AD605" s="15"/>
      <c r="AE605" s="15"/>
      <c r="AF605" s="6"/>
      <c r="AG605" s="6"/>
      <c r="AH605" s="6"/>
      <c r="AI605" s="6"/>
      <c r="AJ605" s="6"/>
      <c r="AK605" s="6"/>
      <c r="AL605" s="6"/>
      <c r="AM605" s="6"/>
      <c r="AN605" s="6"/>
      <c r="AO605" s="6"/>
    </row>
    <row r="606" spans="1:41" ht="14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15"/>
      <c r="AC606" s="15"/>
      <c r="AD606" s="15"/>
      <c r="AE606" s="15"/>
      <c r="AF606" s="6"/>
      <c r="AG606" s="6"/>
      <c r="AH606" s="6"/>
      <c r="AI606" s="6"/>
      <c r="AJ606" s="6"/>
      <c r="AK606" s="6"/>
      <c r="AL606" s="6"/>
      <c r="AM606" s="6"/>
      <c r="AN606" s="6"/>
      <c r="AO606" s="6"/>
    </row>
    <row r="607" spans="1:41" ht="14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15"/>
      <c r="AC607" s="15"/>
      <c r="AD607" s="15"/>
      <c r="AE607" s="15"/>
      <c r="AF607" s="6"/>
      <c r="AG607" s="6"/>
      <c r="AH607" s="6"/>
      <c r="AI607" s="6"/>
      <c r="AJ607" s="6"/>
      <c r="AK607" s="6"/>
      <c r="AL607" s="6"/>
      <c r="AM607" s="6"/>
      <c r="AN607" s="6"/>
      <c r="AO607" s="6"/>
    </row>
    <row r="608" spans="1:41" ht="14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15"/>
      <c r="AC608" s="15"/>
      <c r="AD608" s="15"/>
      <c r="AE608" s="15"/>
      <c r="AF608" s="6"/>
      <c r="AG608" s="6"/>
      <c r="AH608" s="6"/>
      <c r="AI608" s="6"/>
      <c r="AJ608" s="6"/>
      <c r="AK608" s="6"/>
      <c r="AL608" s="6"/>
      <c r="AM608" s="6"/>
      <c r="AN608" s="6"/>
      <c r="AO608" s="6"/>
    </row>
    <row r="609" spans="1:41" ht="14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15"/>
      <c r="AC609" s="15"/>
      <c r="AD609" s="15"/>
      <c r="AE609" s="15"/>
      <c r="AF609" s="6"/>
      <c r="AG609" s="6"/>
      <c r="AH609" s="6"/>
      <c r="AI609" s="6"/>
      <c r="AJ609" s="6"/>
      <c r="AK609" s="6"/>
      <c r="AL609" s="6"/>
      <c r="AM609" s="6"/>
      <c r="AN609" s="6"/>
      <c r="AO609" s="6"/>
    </row>
    <row r="610" spans="1:41" ht="14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15"/>
      <c r="AC610" s="15"/>
      <c r="AD610" s="15"/>
      <c r="AE610" s="15"/>
      <c r="AF610" s="6"/>
      <c r="AG610" s="6"/>
      <c r="AH610" s="6"/>
      <c r="AI610" s="6"/>
      <c r="AJ610" s="6"/>
      <c r="AK610" s="6"/>
      <c r="AL610" s="6"/>
      <c r="AM610" s="6"/>
      <c r="AN610" s="6"/>
      <c r="AO610" s="6"/>
    </row>
    <row r="611" spans="1:41" ht="14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15"/>
      <c r="AC611" s="15"/>
      <c r="AD611" s="15"/>
      <c r="AE611" s="15"/>
      <c r="AF611" s="6"/>
      <c r="AG611" s="6"/>
      <c r="AH611" s="6"/>
      <c r="AI611" s="6"/>
      <c r="AJ611" s="6"/>
      <c r="AK611" s="6"/>
      <c r="AL611" s="6"/>
      <c r="AM611" s="6"/>
      <c r="AN611" s="6"/>
      <c r="AO611" s="6"/>
    </row>
    <row r="612" spans="1:41" ht="14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15"/>
      <c r="AC612" s="15"/>
      <c r="AD612" s="15"/>
      <c r="AE612" s="15"/>
      <c r="AF612" s="6"/>
      <c r="AG612" s="6"/>
      <c r="AH612" s="6"/>
      <c r="AI612" s="6"/>
      <c r="AJ612" s="6"/>
      <c r="AK612" s="6"/>
      <c r="AL612" s="6"/>
      <c r="AM612" s="6"/>
      <c r="AN612" s="6"/>
      <c r="AO612" s="6"/>
    </row>
    <row r="613" spans="1:41" ht="14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15"/>
      <c r="AC613" s="15"/>
      <c r="AD613" s="15"/>
      <c r="AE613" s="15"/>
      <c r="AF613" s="6"/>
      <c r="AG613" s="6"/>
      <c r="AH613" s="6"/>
      <c r="AI613" s="6"/>
      <c r="AJ613" s="6"/>
      <c r="AK613" s="6"/>
      <c r="AL613" s="6"/>
      <c r="AM613" s="6"/>
      <c r="AN613" s="6"/>
      <c r="AO613" s="6"/>
    </row>
    <row r="614" spans="1:41" ht="14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15"/>
      <c r="AC614" s="15"/>
      <c r="AD614" s="15"/>
      <c r="AE614" s="15"/>
      <c r="AF614" s="6"/>
      <c r="AG614" s="6"/>
      <c r="AH614" s="6"/>
      <c r="AI614" s="6"/>
      <c r="AJ614" s="6"/>
      <c r="AK614" s="6"/>
      <c r="AL614" s="6"/>
      <c r="AM614" s="6"/>
      <c r="AN614" s="6"/>
      <c r="AO614" s="6"/>
    </row>
    <row r="615" spans="1:41" ht="14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15"/>
      <c r="AC615" s="15"/>
      <c r="AD615" s="15"/>
      <c r="AE615" s="15"/>
      <c r="AF615" s="6"/>
      <c r="AG615" s="6"/>
      <c r="AH615" s="6"/>
      <c r="AI615" s="6"/>
      <c r="AJ615" s="6"/>
      <c r="AK615" s="6"/>
      <c r="AL615" s="6"/>
      <c r="AM615" s="6"/>
      <c r="AN615" s="6"/>
      <c r="AO615" s="6"/>
    </row>
    <row r="616" spans="1:41" ht="14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15"/>
      <c r="AC616" s="15"/>
      <c r="AD616" s="15"/>
      <c r="AE616" s="15"/>
      <c r="AF616" s="6"/>
      <c r="AG616" s="6"/>
      <c r="AH616" s="6"/>
      <c r="AI616" s="6"/>
      <c r="AJ616" s="6"/>
      <c r="AK616" s="6"/>
      <c r="AL616" s="6"/>
      <c r="AM616" s="6"/>
      <c r="AN616" s="6"/>
      <c r="AO616" s="6"/>
    </row>
    <row r="617" spans="1:41" ht="14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15"/>
      <c r="AC617" s="15"/>
      <c r="AD617" s="15"/>
      <c r="AE617" s="15"/>
      <c r="AF617" s="6"/>
      <c r="AG617" s="6"/>
      <c r="AH617" s="6"/>
      <c r="AI617" s="6"/>
      <c r="AJ617" s="6"/>
      <c r="AK617" s="6"/>
      <c r="AL617" s="6"/>
      <c r="AM617" s="6"/>
      <c r="AN617" s="6"/>
      <c r="AO617" s="6"/>
    </row>
    <row r="618" spans="1:41" ht="14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15"/>
      <c r="AC618" s="15"/>
      <c r="AD618" s="15"/>
      <c r="AE618" s="15"/>
      <c r="AF618" s="6"/>
      <c r="AG618" s="6"/>
      <c r="AH618" s="6"/>
      <c r="AI618" s="6"/>
      <c r="AJ618" s="6"/>
      <c r="AK618" s="6"/>
      <c r="AL618" s="6"/>
      <c r="AM618" s="6"/>
      <c r="AN618" s="6"/>
      <c r="AO618" s="6"/>
    </row>
    <row r="619" spans="1:41" ht="14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15"/>
      <c r="AC619" s="15"/>
      <c r="AD619" s="15"/>
      <c r="AE619" s="15"/>
      <c r="AF619" s="6"/>
      <c r="AG619" s="6"/>
      <c r="AH619" s="6"/>
      <c r="AI619" s="6"/>
      <c r="AJ619" s="6"/>
      <c r="AK619" s="6"/>
      <c r="AL619" s="6"/>
      <c r="AM619" s="6"/>
      <c r="AN619" s="6"/>
      <c r="AO619" s="6"/>
    </row>
    <row r="620" spans="1:41" ht="14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15"/>
      <c r="AC620" s="15"/>
      <c r="AD620" s="15"/>
      <c r="AE620" s="15"/>
      <c r="AF620" s="6"/>
      <c r="AG620" s="6"/>
      <c r="AH620" s="6"/>
      <c r="AI620" s="6"/>
      <c r="AJ620" s="6"/>
      <c r="AK620" s="6"/>
      <c r="AL620" s="6"/>
      <c r="AM620" s="6"/>
      <c r="AN620" s="6"/>
      <c r="AO620" s="6"/>
    </row>
    <row r="621" spans="1:41" ht="14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15"/>
      <c r="AC621" s="15"/>
      <c r="AD621" s="15"/>
      <c r="AE621" s="15"/>
      <c r="AF621" s="6"/>
      <c r="AG621" s="6"/>
      <c r="AH621" s="6"/>
      <c r="AI621" s="6"/>
      <c r="AJ621" s="6"/>
      <c r="AK621" s="6"/>
      <c r="AL621" s="6"/>
      <c r="AM621" s="6"/>
      <c r="AN621" s="6"/>
      <c r="AO621" s="6"/>
    </row>
    <row r="622" spans="1:41" ht="14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15"/>
      <c r="AC622" s="15"/>
      <c r="AD622" s="15"/>
      <c r="AE622" s="15"/>
      <c r="AF622" s="6"/>
      <c r="AG622" s="6"/>
      <c r="AH622" s="6"/>
      <c r="AI622" s="6"/>
      <c r="AJ622" s="6"/>
      <c r="AK622" s="6"/>
      <c r="AL622" s="6"/>
      <c r="AM622" s="6"/>
      <c r="AN622" s="6"/>
      <c r="AO622" s="6"/>
    </row>
    <row r="623" spans="1:41" ht="14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15"/>
      <c r="AC623" s="15"/>
      <c r="AD623" s="15"/>
      <c r="AE623" s="15"/>
      <c r="AF623" s="6"/>
      <c r="AG623" s="6"/>
      <c r="AH623" s="6"/>
      <c r="AI623" s="6"/>
      <c r="AJ623" s="6"/>
      <c r="AK623" s="6"/>
      <c r="AL623" s="6"/>
      <c r="AM623" s="6"/>
      <c r="AN623" s="6"/>
      <c r="AO623" s="6"/>
    </row>
    <row r="624" spans="1:41" ht="14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15"/>
      <c r="AC624" s="15"/>
      <c r="AD624" s="15"/>
      <c r="AE624" s="15"/>
      <c r="AF624" s="6"/>
      <c r="AG624" s="6"/>
      <c r="AH624" s="6"/>
      <c r="AI624" s="6"/>
      <c r="AJ624" s="6"/>
      <c r="AK624" s="6"/>
      <c r="AL624" s="6"/>
      <c r="AM624" s="6"/>
      <c r="AN624" s="6"/>
      <c r="AO624" s="6"/>
    </row>
    <row r="625" spans="1:41" ht="14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15"/>
      <c r="AC625" s="15"/>
      <c r="AD625" s="15"/>
      <c r="AE625" s="15"/>
      <c r="AF625" s="6"/>
      <c r="AG625" s="6"/>
      <c r="AH625" s="6"/>
      <c r="AI625" s="6"/>
      <c r="AJ625" s="6"/>
      <c r="AK625" s="6"/>
      <c r="AL625" s="6"/>
      <c r="AM625" s="6"/>
      <c r="AN625" s="6"/>
      <c r="AO625" s="6"/>
    </row>
    <row r="626" spans="1:41" ht="14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15"/>
      <c r="AC626" s="15"/>
      <c r="AD626" s="15"/>
      <c r="AE626" s="15"/>
      <c r="AF626" s="6"/>
      <c r="AG626" s="6"/>
      <c r="AH626" s="6"/>
      <c r="AI626" s="6"/>
      <c r="AJ626" s="6"/>
      <c r="AK626" s="6"/>
      <c r="AL626" s="6"/>
      <c r="AM626" s="6"/>
      <c r="AN626" s="6"/>
      <c r="AO626" s="6"/>
    </row>
    <row r="627" spans="1:41" ht="14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15"/>
      <c r="AC627" s="15"/>
      <c r="AD627" s="15"/>
      <c r="AE627" s="15"/>
      <c r="AF627" s="6"/>
      <c r="AG627" s="6"/>
      <c r="AH627" s="6"/>
      <c r="AI627" s="6"/>
      <c r="AJ627" s="6"/>
      <c r="AK627" s="6"/>
      <c r="AL627" s="6"/>
      <c r="AM627" s="6"/>
      <c r="AN627" s="6"/>
      <c r="AO627" s="6"/>
    </row>
    <row r="628" spans="1:41" ht="14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15"/>
      <c r="AC628" s="15"/>
      <c r="AD628" s="15"/>
      <c r="AE628" s="15"/>
      <c r="AF628" s="6"/>
      <c r="AG628" s="6"/>
      <c r="AH628" s="6"/>
      <c r="AI628" s="6"/>
      <c r="AJ628" s="6"/>
      <c r="AK628" s="6"/>
      <c r="AL628" s="6"/>
      <c r="AM628" s="6"/>
      <c r="AN628" s="6"/>
      <c r="AO628" s="6"/>
    </row>
    <row r="629" spans="1:41" ht="14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15"/>
      <c r="AC629" s="15"/>
      <c r="AD629" s="15"/>
      <c r="AE629" s="15"/>
      <c r="AF629" s="6"/>
      <c r="AG629" s="6"/>
      <c r="AH629" s="6"/>
      <c r="AI629" s="6"/>
      <c r="AJ629" s="6"/>
      <c r="AK629" s="6"/>
      <c r="AL629" s="6"/>
      <c r="AM629" s="6"/>
      <c r="AN629" s="6"/>
      <c r="AO629" s="6"/>
    </row>
    <row r="630" spans="1:41" ht="14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15"/>
      <c r="AC630" s="15"/>
      <c r="AD630" s="15"/>
      <c r="AE630" s="15"/>
      <c r="AF630" s="6"/>
      <c r="AG630" s="6"/>
      <c r="AH630" s="6"/>
      <c r="AI630" s="6"/>
      <c r="AJ630" s="6"/>
      <c r="AK630" s="6"/>
      <c r="AL630" s="6"/>
      <c r="AM630" s="6"/>
      <c r="AN630" s="6"/>
      <c r="AO630" s="6"/>
    </row>
    <row r="631" spans="1:41" ht="14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15"/>
      <c r="AC631" s="15"/>
      <c r="AD631" s="15"/>
      <c r="AE631" s="15"/>
      <c r="AF631" s="6"/>
      <c r="AG631" s="6"/>
      <c r="AH631" s="6"/>
      <c r="AI631" s="6"/>
      <c r="AJ631" s="6"/>
      <c r="AK631" s="6"/>
      <c r="AL631" s="6"/>
      <c r="AM631" s="6"/>
      <c r="AN631" s="6"/>
      <c r="AO631" s="6"/>
    </row>
    <row r="632" spans="1:41" ht="14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15"/>
      <c r="AC632" s="15"/>
      <c r="AD632" s="15"/>
      <c r="AE632" s="15"/>
      <c r="AF632" s="6"/>
      <c r="AG632" s="6"/>
      <c r="AH632" s="6"/>
      <c r="AI632" s="6"/>
      <c r="AJ632" s="6"/>
      <c r="AK632" s="6"/>
      <c r="AL632" s="6"/>
      <c r="AM632" s="6"/>
      <c r="AN632" s="6"/>
      <c r="AO632" s="6"/>
    </row>
    <row r="633" spans="1:41" ht="14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15"/>
      <c r="AC633" s="15"/>
      <c r="AD633" s="15"/>
      <c r="AE633" s="15"/>
      <c r="AF633" s="6"/>
      <c r="AG633" s="6"/>
      <c r="AH633" s="6"/>
      <c r="AI633" s="6"/>
      <c r="AJ633" s="6"/>
      <c r="AK633" s="6"/>
      <c r="AL633" s="6"/>
      <c r="AM633" s="6"/>
      <c r="AN633" s="6"/>
      <c r="AO633" s="6"/>
    </row>
    <row r="634" spans="1:41" ht="14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15"/>
      <c r="AC634" s="15"/>
      <c r="AD634" s="15"/>
      <c r="AE634" s="15"/>
      <c r="AF634" s="6"/>
      <c r="AG634" s="6"/>
      <c r="AH634" s="6"/>
      <c r="AI634" s="6"/>
      <c r="AJ634" s="6"/>
      <c r="AK634" s="6"/>
      <c r="AL634" s="6"/>
      <c r="AM634" s="6"/>
      <c r="AN634" s="6"/>
      <c r="AO634" s="6"/>
    </row>
    <row r="635" spans="1:41" ht="14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15"/>
      <c r="AC635" s="15"/>
      <c r="AD635" s="15"/>
      <c r="AE635" s="15"/>
      <c r="AF635" s="6"/>
      <c r="AG635" s="6"/>
      <c r="AH635" s="6"/>
      <c r="AI635" s="6"/>
      <c r="AJ635" s="6"/>
      <c r="AK635" s="6"/>
      <c r="AL635" s="6"/>
      <c r="AM635" s="6"/>
      <c r="AN635" s="6"/>
      <c r="AO635" s="6"/>
    </row>
    <row r="636" spans="1:41" ht="14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15"/>
      <c r="AC636" s="15"/>
      <c r="AD636" s="15"/>
      <c r="AE636" s="15"/>
      <c r="AF636" s="6"/>
      <c r="AG636" s="6"/>
      <c r="AH636" s="6"/>
      <c r="AI636" s="6"/>
      <c r="AJ636" s="6"/>
      <c r="AK636" s="6"/>
      <c r="AL636" s="6"/>
      <c r="AM636" s="6"/>
      <c r="AN636" s="6"/>
      <c r="AO636" s="6"/>
    </row>
    <row r="637" spans="1:41" ht="14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15"/>
      <c r="AC637" s="15"/>
      <c r="AD637" s="15"/>
      <c r="AE637" s="15"/>
      <c r="AF637" s="6"/>
      <c r="AG637" s="6"/>
      <c r="AH637" s="6"/>
      <c r="AI637" s="6"/>
      <c r="AJ637" s="6"/>
      <c r="AK637" s="6"/>
      <c r="AL637" s="6"/>
      <c r="AM637" s="6"/>
      <c r="AN637" s="6"/>
      <c r="AO637" s="6"/>
    </row>
    <row r="638" spans="1:41" ht="14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15"/>
      <c r="AC638" s="15"/>
      <c r="AD638" s="15"/>
      <c r="AE638" s="15"/>
      <c r="AF638" s="6"/>
      <c r="AG638" s="6"/>
      <c r="AH638" s="6"/>
      <c r="AI638" s="6"/>
      <c r="AJ638" s="6"/>
      <c r="AK638" s="6"/>
      <c r="AL638" s="6"/>
      <c r="AM638" s="6"/>
      <c r="AN638" s="6"/>
      <c r="AO638" s="6"/>
    </row>
    <row r="639" spans="1:41" ht="14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15"/>
      <c r="AC639" s="15"/>
      <c r="AD639" s="15"/>
      <c r="AE639" s="15"/>
      <c r="AF639" s="6"/>
      <c r="AG639" s="6"/>
      <c r="AH639" s="6"/>
      <c r="AI639" s="6"/>
      <c r="AJ639" s="6"/>
      <c r="AK639" s="6"/>
      <c r="AL639" s="6"/>
      <c r="AM639" s="6"/>
      <c r="AN639" s="6"/>
      <c r="AO639" s="6"/>
    </row>
    <row r="640" spans="1:41" ht="14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15"/>
      <c r="AC640" s="15"/>
      <c r="AD640" s="15"/>
      <c r="AE640" s="15"/>
      <c r="AF640" s="6"/>
      <c r="AG640" s="6"/>
      <c r="AH640" s="6"/>
      <c r="AI640" s="6"/>
      <c r="AJ640" s="6"/>
      <c r="AK640" s="6"/>
      <c r="AL640" s="6"/>
      <c r="AM640" s="6"/>
      <c r="AN640" s="6"/>
      <c r="AO640" s="6"/>
    </row>
    <row r="641" spans="1:41" ht="14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15"/>
      <c r="AC641" s="15"/>
      <c r="AD641" s="15"/>
      <c r="AE641" s="15"/>
      <c r="AF641" s="6"/>
      <c r="AG641" s="6"/>
      <c r="AH641" s="6"/>
      <c r="AI641" s="6"/>
      <c r="AJ641" s="6"/>
      <c r="AK641" s="6"/>
      <c r="AL641" s="6"/>
      <c r="AM641" s="6"/>
      <c r="AN641" s="6"/>
      <c r="AO641" s="6"/>
    </row>
    <row r="642" spans="1:41" ht="14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15"/>
      <c r="AC642" s="15"/>
      <c r="AD642" s="15"/>
      <c r="AE642" s="15"/>
      <c r="AF642" s="6"/>
      <c r="AG642" s="6"/>
      <c r="AH642" s="6"/>
      <c r="AI642" s="6"/>
      <c r="AJ642" s="6"/>
      <c r="AK642" s="6"/>
      <c r="AL642" s="6"/>
      <c r="AM642" s="6"/>
      <c r="AN642" s="6"/>
      <c r="AO642" s="6"/>
    </row>
    <row r="643" spans="1:41" ht="14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15"/>
      <c r="AC643" s="15"/>
      <c r="AD643" s="15"/>
      <c r="AE643" s="15"/>
      <c r="AF643" s="6"/>
      <c r="AG643" s="6"/>
      <c r="AH643" s="6"/>
      <c r="AI643" s="6"/>
      <c r="AJ643" s="6"/>
      <c r="AK643" s="6"/>
      <c r="AL643" s="6"/>
      <c r="AM643" s="6"/>
      <c r="AN643" s="6"/>
      <c r="AO643" s="6"/>
    </row>
    <row r="644" spans="1:41" ht="14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15"/>
      <c r="AC644" s="15"/>
      <c r="AD644" s="15"/>
      <c r="AE644" s="15"/>
      <c r="AF644" s="6"/>
      <c r="AG644" s="6"/>
      <c r="AH644" s="6"/>
      <c r="AI644" s="6"/>
      <c r="AJ644" s="6"/>
      <c r="AK644" s="6"/>
      <c r="AL644" s="6"/>
      <c r="AM644" s="6"/>
      <c r="AN644" s="6"/>
      <c r="AO644" s="6"/>
    </row>
    <row r="645" spans="1:41" ht="14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15"/>
      <c r="AC645" s="15"/>
      <c r="AD645" s="15"/>
      <c r="AE645" s="15"/>
      <c r="AF645" s="6"/>
      <c r="AG645" s="6"/>
      <c r="AH645" s="6"/>
      <c r="AI645" s="6"/>
      <c r="AJ645" s="6"/>
      <c r="AK645" s="6"/>
      <c r="AL645" s="6"/>
      <c r="AM645" s="6"/>
      <c r="AN645" s="6"/>
      <c r="AO645" s="6"/>
    </row>
    <row r="646" spans="1:41" ht="14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15"/>
      <c r="AC646" s="15"/>
      <c r="AD646" s="15"/>
      <c r="AE646" s="15"/>
      <c r="AF646" s="6"/>
      <c r="AG646" s="6"/>
      <c r="AH646" s="6"/>
      <c r="AI646" s="6"/>
      <c r="AJ646" s="6"/>
      <c r="AK646" s="6"/>
      <c r="AL646" s="6"/>
      <c r="AM646" s="6"/>
      <c r="AN646" s="6"/>
      <c r="AO646" s="6"/>
    </row>
    <row r="647" spans="1:41" ht="14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15"/>
      <c r="AC647" s="15"/>
      <c r="AD647" s="15"/>
      <c r="AE647" s="15"/>
      <c r="AF647" s="6"/>
      <c r="AG647" s="6"/>
      <c r="AH647" s="6"/>
      <c r="AI647" s="6"/>
      <c r="AJ647" s="6"/>
      <c r="AK647" s="6"/>
      <c r="AL647" s="6"/>
      <c r="AM647" s="6"/>
      <c r="AN647" s="6"/>
      <c r="AO647" s="6"/>
    </row>
    <row r="648" spans="1:41" ht="14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15"/>
      <c r="AC648" s="15"/>
      <c r="AD648" s="15"/>
      <c r="AE648" s="15"/>
      <c r="AF648" s="6"/>
      <c r="AG648" s="6"/>
      <c r="AH648" s="6"/>
      <c r="AI648" s="6"/>
      <c r="AJ648" s="6"/>
      <c r="AK648" s="6"/>
      <c r="AL648" s="6"/>
      <c r="AM648" s="6"/>
      <c r="AN648" s="6"/>
      <c r="AO648" s="6"/>
    </row>
    <row r="649" spans="1:41" ht="14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15"/>
      <c r="AC649" s="15"/>
      <c r="AD649" s="15"/>
      <c r="AE649" s="15"/>
      <c r="AF649" s="6"/>
      <c r="AG649" s="6"/>
      <c r="AH649" s="6"/>
      <c r="AI649" s="6"/>
      <c r="AJ649" s="6"/>
      <c r="AK649" s="6"/>
      <c r="AL649" s="6"/>
      <c r="AM649" s="6"/>
      <c r="AN649" s="6"/>
      <c r="AO649" s="6"/>
    </row>
    <row r="650" spans="1:41" ht="14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15"/>
      <c r="AC650" s="15"/>
      <c r="AD650" s="15"/>
      <c r="AE650" s="15"/>
      <c r="AF650" s="6"/>
      <c r="AG650" s="6"/>
      <c r="AH650" s="6"/>
      <c r="AI650" s="6"/>
      <c r="AJ650" s="6"/>
      <c r="AK650" s="6"/>
      <c r="AL650" s="6"/>
      <c r="AM650" s="6"/>
      <c r="AN650" s="6"/>
      <c r="AO650" s="6"/>
    </row>
    <row r="651" spans="1:41" ht="14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15"/>
      <c r="AC651" s="15"/>
      <c r="AD651" s="15"/>
      <c r="AE651" s="15"/>
      <c r="AF651" s="6"/>
      <c r="AG651" s="6"/>
      <c r="AH651" s="6"/>
      <c r="AI651" s="6"/>
      <c r="AJ651" s="6"/>
      <c r="AK651" s="6"/>
      <c r="AL651" s="6"/>
      <c r="AM651" s="6"/>
      <c r="AN651" s="6"/>
      <c r="AO651" s="6"/>
    </row>
    <row r="652" spans="1:41" ht="14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15"/>
      <c r="AC652" s="15"/>
      <c r="AD652" s="15"/>
      <c r="AE652" s="15"/>
      <c r="AF652" s="6"/>
      <c r="AG652" s="6"/>
      <c r="AH652" s="6"/>
      <c r="AI652" s="6"/>
      <c r="AJ652" s="6"/>
      <c r="AK652" s="6"/>
      <c r="AL652" s="6"/>
      <c r="AM652" s="6"/>
      <c r="AN652" s="6"/>
      <c r="AO652" s="6"/>
    </row>
    <row r="653" spans="1:41" ht="14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15"/>
      <c r="AC653" s="15"/>
      <c r="AD653" s="15"/>
      <c r="AE653" s="15"/>
      <c r="AF653" s="6"/>
      <c r="AG653" s="6"/>
      <c r="AH653" s="6"/>
      <c r="AI653" s="6"/>
      <c r="AJ653" s="6"/>
      <c r="AK653" s="6"/>
      <c r="AL653" s="6"/>
      <c r="AM653" s="6"/>
      <c r="AN653" s="6"/>
      <c r="AO653" s="6"/>
    </row>
    <row r="654" spans="1:41" ht="14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15"/>
      <c r="AC654" s="15"/>
      <c r="AD654" s="15"/>
      <c r="AE654" s="15"/>
      <c r="AF654" s="6"/>
      <c r="AG654" s="6"/>
      <c r="AH654" s="6"/>
      <c r="AI654" s="6"/>
      <c r="AJ654" s="6"/>
      <c r="AK654" s="6"/>
      <c r="AL654" s="6"/>
      <c r="AM654" s="6"/>
      <c r="AN654" s="6"/>
      <c r="AO654" s="6"/>
    </row>
    <row r="655" spans="1:41" ht="14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15"/>
      <c r="AC655" s="15"/>
      <c r="AD655" s="15"/>
      <c r="AE655" s="15"/>
      <c r="AF655" s="6"/>
      <c r="AG655" s="6"/>
      <c r="AH655" s="6"/>
      <c r="AI655" s="6"/>
      <c r="AJ655" s="6"/>
      <c r="AK655" s="6"/>
      <c r="AL655" s="6"/>
      <c r="AM655" s="6"/>
      <c r="AN655" s="6"/>
      <c r="AO655" s="6"/>
    </row>
    <row r="656" spans="1:41" ht="14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15"/>
      <c r="AC656" s="15"/>
      <c r="AD656" s="15"/>
      <c r="AE656" s="15"/>
      <c r="AF656" s="6"/>
      <c r="AG656" s="6"/>
      <c r="AH656" s="6"/>
      <c r="AI656" s="6"/>
      <c r="AJ656" s="6"/>
      <c r="AK656" s="6"/>
      <c r="AL656" s="6"/>
      <c r="AM656" s="6"/>
      <c r="AN656" s="6"/>
      <c r="AO656" s="6"/>
    </row>
    <row r="657" spans="1:41" ht="14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15"/>
      <c r="AC657" s="15"/>
      <c r="AD657" s="15"/>
      <c r="AE657" s="15"/>
      <c r="AF657" s="6"/>
      <c r="AG657" s="6"/>
      <c r="AH657" s="6"/>
      <c r="AI657" s="6"/>
      <c r="AJ657" s="6"/>
      <c r="AK657" s="6"/>
      <c r="AL657" s="6"/>
      <c r="AM657" s="6"/>
      <c r="AN657" s="6"/>
      <c r="AO657" s="6"/>
    </row>
    <row r="658" spans="1:41" ht="14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15"/>
      <c r="AC658" s="15"/>
      <c r="AD658" s="15"/>
      <c r="AE658" s="15"/>
      <c r="AF658" s="6"/>
      <c r="AG658" s="6"/>
      <c r="AH658" s="6"/>
      <c r="AI658" s="6"/>
      <c r="AJ658" s="6"/>
      <c r="AK658" s="6"/>
      <c r="AL658" s="6"/>
      <c r="AM658" s="6"/>
      <c r="AN658" s="6"/>
      <c r="AO658" s="6"/>
    </row>
    <row r="659" spans="1:41" ht="14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15"/>
      <c r="AC659" s="15"/>
      <c r="AD659" s="15"/>
      <c r="AE659" s="15"/>
      <c r="AF659" s="6"/>
      <c r="AG659" s="6"/>
      <c r="AH659" s="6"/>
      <c r="AI659" s="6"/>
      <c r="AJ659" s="6"/>
      <c r="AK659" s="6"/>
      <c r="AL659" s="6"/>
      <c r="AM659" s="6"/>
      <c r="AN659" s="6"/>
      <c r="AO659" s="6"/>
    </row>
    <row r="660" spans="1:41" ht="14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15"/>
      <c r="AC660" s="15"/>
      <c r="AD660" s="15"/>
      <c r="AE660" s="15"/>
      <c r="AF660" s="6"/>
      <c r="AG660" s="6"/>
      <c r="AH660" s="6"/>
      <c r="AI660" s="6"/>
      <c r="AJ660" s="6"/>
      <c r="AK660" s="6"/>
      <c r="AL660" s="6"/>
      <c r="AM660" s="6"/>
      <c r="AN660" s="6"/>
      <c r="AO660" s="6"/>
    </row>
    <row r="661" spans="1:41" ht="14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15"/>
      <c r="AC661" s="15"/>
      <c r="AD661" s="15"/>
      <c r="AE661" s="15"/>
      <c r="AF661" s="6"/>
      <c r="AG661" s="6"/>
      <c r="AH661" s="6"/>
      <c r="AI661" s="6"/>
      <c r="AJ661" s="6"/>
      <c r="AK661" s="6"/>
      <c r="AL661" s="6"/>
      <c r="AM661" s="6"/>
      <c r="AN661" s="6"/>
      <c r="AO661" s="6"/>
    </row>
    <row r="662" spans="1:41" ht="14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15"/>
      <c r="AC662" s="15"/>
      <c r="AD662" s="15"/>
      <c r="AE662" s="15"/>
      <c r="AF662" s="6"/>
      <c r="AG662" s="6"/>
      <c r="AH662" s="6"/>
      <c r="AI662" s="6"/>
      <c r="AJ662" s="6"/>
      <c r="AK662" s="6"/>
      <c r="AL662" s="6"/>
      <c r="AM662" s="6"/>
      <c r="AN662" s="6"/>
      <c r="AO662" s="6"/>
    </row>
    <row r="663" spans="1:41" ht="14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15"/>
      <c r="AC663" s="15"/>
      <c r="AD663" s="15"/>
      <c r="AE663" s="15"/>
      <c r="AF663" s="6"/>
      <c r="AG663" s="6"/>
      <c r="AH663" s="6"/>
      <c r="AI663" s="6"/>
      <c r="AJ663" s="6"/>
      <c r="AK663" s="6"/>
      <c r="AL663" s="6"/>
      <c r="AM663" s="6"/>
      <c r="AN663" s="6"/>
      <c r="AO663" s="6"/>
    </row>
    <row r="664" spans="1:41" ht="14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15"/>
      <c r="AC664" s="15"/>
      <c r="AD664" s="15"/>
      <c r="AE664" s="15"/>
      <c r="AF664" s="6"/>
      <c r="AG664" s="6"/>
      <c r="AH664" s="6"/>
      <c r="AI664" s="6"/>
      <c r="AJ664" s="6"/>
      <c r="AK664" s="6"/>
      <c r="AL664" s="6"/>
      <c r="AM664" s="6"/>
      <c r="AN664" s="6"/>
      <c r="AO664" s="6"/>
    </row>
    <row r="665" spans="1:41" ht="14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15"/>
      <c r="AC665" s="15"/>
      <c r="AD665" s="15"/>
      <c r="AE665" s="15"/>
      <c r="AF665" s="6"/>
      <c r="AG665" s="6"/>
      <c r="AH665" s="6"/>
      <c r="AI665" s="6"/>
      <c r="AJ665" s="6"/>
      <c r="AK665" s="6"/>
      <c r="AL665" s="6"/>
      <c r="AM665" s="6"/>
      <c r="AN665" s="6"/>
      <c r="AO665" s="6"/>
    </row>
    <row r="666" spans="1:41" ht="14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15"/>
      <c r="AC666" s="15"/>
      <c r="AD666" s="15"/>
      <c r="AE666" s="15"/>
      <c r="AF666" s="6"/>
      <c r="AG666" s="6"/>
      <c r="AH666" s="6"/>
      <c r="AI666" s="6"/>
      <c r="AJ666" s="6"/>
      <c r="AK666" s="6"/>
      <c r="AL666" s="6"/>
      <c r="AM666" s="6"/>
      <c r="AN666" s="6"/>
      <c r="AO666" s="6"/>
    </row>
    <row r="667" spans="1:41" ht="14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15"/>
      <c r="AC667" s="15"/>
      <c r="AD667" s="15"/>
      <c r="AE667" s="15"/>
      <c r="AF667" s="6"/>
      <c r="AG667" s="6"/>
      <c r="AH667" s="6"/>
      <c r="AI667" s="6"/>
      <c r="AJ667" s="6"/>
      <c r="AK667" s="6"/>
      <c r="AL667" s="6"/>
      <c r="AM667" s="6"/>
      <c r="AN667" s="6"/>
      <c r="AO667" s="6"/>
    </row>
    <row r="668" spans="1:41" ht="14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15"/>
      <c r="AC668" s="15"/>
      <c r="AD668" s="15"/>
      <c r="AE668" s="15"/>
      <c r="AF668" s="6"/>
      <c r="AG668" s="6"/>
      <c r="AH668" s="6"/>
      <c r="AI668" s="6"/>
      <c r="AJ668" s="6"/>
      <c r="AK668" s="6"/>
      <c r="AL668" s="6"/>
      <c r="AM668" s="6"/>
      <c r="AN668" s="6"/>
      <c r="AO668" s="6"/>
    </row>
    <row r="669" spans="1:41" ht="14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15"/>
      <c r="AC669" s="15"/>
      <c r="AD669" s="15"/>
      <c r="AE669" s="15"/>
      <c r="AF669" s="6"/>
      <c r="AG669" s="6"/>
      <c r="AH669" s="6"/>
      <c r="AI669" s="6"/>
      <c r="AJ669" s="6"/>
      <c r="AK669" s="6"/>
      <c r="AL669" s="6"/>
      <c r="AM669" s="6"/>
      <c r="AN669" s="6"/>
      <c r="AO669" s="6"/>
    </row>
    <row r="670" spans="1:41" ht="14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15"/>
      <c r="AC670" s="15"/>
      <c r="AD670" s="15"/>
      <c r="AE670" s="15"/>
      <c r="AF670" s="6"/>
      <c r="AG670" s="6"/>
      <c r="AH670" s="6"/>
      <c r="AI670" s="6"/>
      <c r="AJ670" s="6"/>
      <c r="AK670" s="6"/>
      <c r="AL670" s="6"/>
      <c r="AM670" s="6"/>
      <c r="AN670" s="6"/>
      <c r="AO670" s="6"/>
    </row>
    <row r="671" spans="1:41" ht="14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15"/>
      <c r="AC671" s="15"/>
      <c r="AD671" s="15"/>
      <c r="AE671" s="15"/>
      <c r="AF671" s="6"/>
      <c r="AG671" s="6"/>
      <c r="AH671" s="6"/>
      <c r="AI671" s="6"/>
      <c r="AJ671" s="6"/>
      <c r="AK671" s="6"/>
      <c r="AL671" s="6"/>
      <c r="AM671" s="6"/>
      <c r="AN671" s="6"/>
      <c r="AO671" s="6"/>
    </row>
    <row r="672" spans="1:41" ht="14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15"/>
      <c r="AC672" s="15"/>
      <c r="AD672" s="15"/>
      <c r="AE672" s="15"/>
      <c r="AF672" s="6"/>
      <c r="AG672" s="6"/>
      <c r="AH672" s="6"/>
      <c r="AI672" s="6"/>
      <c r="AJ672" s="6"/>
      <c r="AK672" s="6"/>
      <c r="AL672" s="6"/>
      <c r="AM672" s="6"/>
      <c r="AN672" s="6"/>
      <c r="AO672" s="6"/>
    </row>
    <row r="673" spans="1:41" ht="14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15"/>
      <c r="AC673" s="15"/>
      <c r="AD673" s="15"/>
      <c r="AE673" s="15"/>
      <c r="AF673" s="6"/>
      <c r="AG673" s="6"/>
      <c r="AH673" s="6"/>
      <c r="AI673" s="6"/>
      <c r="AJ673" s="6"/>
      <c r="AK673" s="6"/>
      <c r="AL673" s="6"/>
      <c r="AM673" s="6"/>
      <c r="AN673" s="6"/>
      <c r="AO673" s="6"/>
    </row>
    <row r="674" spans="1:41" ht="14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15"/>
      <c r="AC674" s="15"/>
      <c r="AD674" s="15"/>
      <c r="AE674" s="15"/>
      <c r="AF674" s="6"/>
      <c r="AG674" s="6"/>
      <c r="AH674" s="6"/>
      <c r="AI674" s="6"/>
      <c r="AJ674" s="6"/>
      <c r="AK674" s="6"/>
      <c r="AL674" s="6"/>
      <c r="AM674" s="6"/>
      <c r="AN674" s="6"/>
      <c r="AO674" s="6"/>
    </row>
    <row r="675" spans="1:41" ht="14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15"/>
      <c r="AC675" s="15"/>
      <c r="AD675" s="15"/>
      <c r="AE675" s="15"/>
      <c r="AF675" s="6"/>
      <c r="AG675" s="6"/>
      <c r="AH675" s="6"/>
      <c r="AI675" s="6"/>
      <c r="AJ675" s="6"/>
      <c r="AK675" s="6"/>
      <c r="AL675" s="6"/>
      <c r="AM675" s="6"/>
      <c r="AN675" s="6"/>
      <c r="AO675" s="6"/>
    </row>
    <row r="676" spans="1:41" ht="14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15"/>
      <c r="AC676" s="15"/>
      <c r="AD676" s="15"/>
      <c r="AE676" s="15"/>
      <c r="AF676" s="6"/>
      <c r="AG676" s="6"/>
      <c r="AH676" s="6"/>
      <c r="AI676" s="6"/>
      <c r="AJ676" s="6"/>
      <c r="AK676" s="6"/>
      <c r="AL676" s="6"/>
      <c r="AM676" s="6"/>
      <c r="AN676" s="6"/>
      <c r="AO676" s="6"/>
    </row>
    <row r="677" spans="1:41" ht="14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15"/>
      <c r="AC677" s="15"/>
      <c r="AD677" s="15"/>
      <c r="AE677" s="15"/>
      <c r="AF677" s="6"/>
      <c r="AG677" s="6"/>
      <c r="AH677" s="6"/>
      <c r="AI677" s="6"/>
      <c r="AJ677" s="6"/>
      <c r="AK677" s="6"/>
      <c r="AL677" s="6"/>
      <c r="AM677" s="6"/>
      <c r="AN677" s="6"/>
      <c r="AO677" s="6"/>
    </row>
    <row r="678" spans="1:41" ht="14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15"/>
      <c r="AC678" s="15"/>
      <c r="AD678" s="15"/>
      <c r="AE678" s="15"/>
      <c r="AF678" s="6"/>
      <c r="AG678" s="6"/>
      <c r="AH678" s="6"/>
      <c r="AI678" s="6"/>
      <c r="AJ678" s="6"/>
      <c r="AK678" s="6"/>
      <c r="AL678" s="6"/>
      <c r="AM678" s="6"/>
      <c r="AN678" s="6"/>
      <c r="AO678" s="6"/>
    </row>
    <row r="679" spans="1:41" ht="14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15"/>
      <c r="AC679" s="15"/>
      <c r="AD679" s="15"/>
      <c r="AE679" s="15"/>
      <c r="AF679" s="6"/>
      <c r="AG679" s="6"/>
      <c r="AH679" s="6"/>
      <c r="AI679" s="6"/>
      <c r="AJ679" s="6"/>
      <c r="AK679" s="6"/>
      <c r="AL679" s="6"/>
      <c r="AM679" s="6"/>
      <c r="AN679" s="6"/>
      <c r="AO679" s="6"/>
    </row>
    <row r="680" spans="1:41" ht="14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15"/>
      <c r="AC680" s="15"/>
      <c r="AD680" s="15"/>
      <c r="AE680" s="15"/>
      <c r="AF680" s="6"/>
      <c r="AG680" s="6"/>
      <c r="AH680" s="6"/>
      <c r="AI680" s="6"/>
      <c r="AJ680" s="6"/>
      <c r="AK680" s="6"/>
      <c r="AL680" s="6"/>
      <c r="AM680" s="6"/>
      <c r="AN680" s="6"/>
      <c r="AO680" s="6"/>
    </row>
    <row r="681" spans="1:41" ht="14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15"/>
      <c r="AC681" s="15"/>
      <c r="AD681" s="15"/>
      <c r="AE681" s="15"/>
      <c r="AF681" s="6"/>
      <c r="AG681" s="6"/>
      <c r="AH681" s="6"/>
      <c r="AI681" s="6"/>
      <c r="AJ681" s="6"/>
      <c r="AK681" s="6"/>
      <c r="AL681" s="6"/>
      <c r="AM681" s="6"/>
      <c r="AN681" s="6"/>
      <c r="AO681" s="6"/>
    </row>
    <row r="682" spans="1:41" ht="14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15"/>
      <c r="AC682" s="15"/>
      <c r="AD682" s="15"/>
      <c r="AE682" s="15"/>
      <c r="AF682" s="6"/>
      <c r="AG682" s="6"/>
      <c r="AH682" s="6"/>
      <c r="AI682" s="6"/>
      <c r="AJ682" s="6"/>
      <c r="AK682" s="6"/>
      <c r="AL682" s="6"/>
      <c r="AM682" s="6"/>
      <c r="AN682" s="6"/>
      <c r="AO682" s="6"/>
    </row>
    <row r="683" spans="1:41" ht="14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15"/>
      <c r="AC683" s="15"/>
      <c r="AD683" s="15"/>
      <c r="AE683" s="15"/>
      <c r="AF683" s="6"/>
      <c r="AG683" s="6"/>
      <c r="AH683" s="6"/>
      <c r="AI683" s="6"/>
      <c r="AJ683" s="6"/>
      <c r="AK683" s="6"/>
      <c r="AL683" s="6"/>
      <c r="AM683" s="6"/>
      <c r="AN683" s="6"/>
      <c r="AO683" s="6"/>
    </row>
    <row r="684" spans="1:41" ht="14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15"/>
      <c r="AC684" s="15"/>
      <c r="AD684" s="15"/>
      <c r="AE684" s="15"/>
      <c r="AF684" s="6"/>
      <c r="AG684" s="6"/>
      <c r="AH684" s="6"/>
      <c r="AI684" s="6"/>
      <c r="AJ684" s="6"/>
      <c r="AK684" s="6"/>
      <c r="AL684" s="6"/>
      <c r="AM684" s="6"/>
      <c r="AN684" s="6"/>
      <c r="AO684" s="6"/>
    </row>
    <row r="685" spans="1:41" ht="14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15"/>
      <c r="AC685" s="15"/>
      <c r="AD685" s="15"/>
      <c r="AE685" s="15"/>
      <c r="AF685" s="6"/>
      <c r="AG685" s="6"/>
      <c r="AH685" s="6"/>
      <c r="AI685" s="6"/>
      <c r="AJ685" s="6"/>
      <c r="AK685" s="6"/>
      <c r="AL685" s="6"/>
      <c r="AM685" s="6"/>
      <c r="AN685" s="6"/>
      <c r="AO685" s="6"/>
    </row>
    <row r="686" spans="1:41" ht="14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15"/>
      <c r="AC686" s="15"/>
      <c r="AD686" s="15"/>
      <c r="AE686" s="15"/>
      <c r="AF686" s="6"/>
      <c r="AG686" s="6"/>
      <c r="AH686" s="6"/>
      <c r="AI686" s="6"/>
      <c r="AJ686" s="6"/>
      <c r="AK686" s="6"/>
      <c r="AL686" s="6"/>
      <c r="AM686" s="6"/>
      <c r="AN686" s="6"/>
      <c r="AO686" s="6"/>
    </row>
    <row r="687" spans="1:41" ht="14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15"/>
      <c r="AC687" s="15"/>
      <c r="AD687" s="15"/>
      <c r="AE687" s="15"/>
      <c r="AF687" s="6"/>
      <c r="AG687" s="6"/>
      <c r="AH687" s="6"/>
      <c r="AI687" s="6"/>
      <c r="AJ687" s="6"/>
      <c r="AK687" s="6"/>
      <c r="AL687" s="6"/>
      <c r="AM687" s="6"/>
      <c r="AN687" s="6"/>
      <c r="AO687" s="6"/>
    </row>
    <row r="688" spans="1:41" ht="14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15"/>
      <c r="AC688" s="15"/>
      <c r="AD688" s="15"/>
      <c r="AE688" s="15"/>
      <c r="AF688" s="6"/>
      <c r="AG688" s="6"/>
      <c r="AH688" s="6"/>
      <c r="AI688" s="6"/>
      <c r="AJ688" s="6"/>
      <c r="AK688" s="6"/>
      <c r="AL688" s="6"/>
      <c r="AM688" s="6"/>
      <c r="AN688" s="6"/>
      <c r="AO688" s="6"/>
    </row>
    <row r="689" spans="1:41" ht="14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15"/>
      <c r="AC689" s="15"/>
      <c r="AD689" s="15"/>
      <c r="AE689" s="15"/>
      <c r="AF689" s="6"/>
      <c r="AG689" s="6"/>
      <c r="AH689" s="6"/>
      <c r="AI689" s="6"/>
      <c r="AJ689" s="6"/>
      <c r="AK689" s="6"/>
      <c r="AL689" s="6"/>
      <c r="AM689" s="6"/>
      <c r="AN689" s="6"/>
      <c r="AO689" s="6"/>
    </row>
    <row r="690" spans="1:41" ht="14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15"/>
      <c r="AC690" s="15"/>
      <c r="AD690" s="15"/>
      <c r="AE690" s="15"/>
      <c r="AF690" s="6"/>
      <c r="AG690" s="6"/>
      <c r="AH690" s="6"/>
      <c r="AI690" s="6"/>
      <c r="AJ690" s="6"/>
      <c r="AK690" s="6"/>
      <c r="AL690" s="6"/>
      <c r="AM690" s="6"/>
      <c r="AN690" s="6"/>
      <c r="AO690" s="6"/>
    </row>
    <row r="691" spans="1:41" ht="14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15"/>
      <c r="AC691" s="15"/>
      <c r="AD691" s="15"/>
      <c r="AE691" s="15"/>
      <c r="AF691" s="6"/>
      <c r="AG691" s="6"/>
      <c r="AH691" s="6"/>
      <c r="AI691" s="6"/>
      <c r="AJ691" s="6"/>
      <c r="AK691" s="6"/>
      <c r="AL691" s="6"/>
      <c r="AM691" s="6"/>
      <c r="AN691" s="6"/>
      <c r="AO691" s="6"/>
    </row>
    <row r="692" spans="1:41" ht="14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15"/>
      <c r="AC692" s="15"/>
      <c r="AD692" s="15"/>
      <c r="AE692" s="15"/>
      <c r="AF692" s="6"/>
      <c r="AG692" s="6"/>
      <c r="AH692" s="6"/>
      <c r="AI692" s="6"/>
      <c r="AJ692" s="6"/>
      <c r="AK692" s="6"/>
      <c r="AL692" s="6"/>
      <c r="AM692" s="6"/>
      <c r="AN692" s="6"/>
      <c r="AO692" s="6"/>
    </row>
    <row r="693" spans="1:41" ht="14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15"/>
      <c r="AC693" s="15"/>
      <c r="AD693" s="15"/>
      <c r="AE693" s="15"/>
      <c r="AF693" s="6"/>
      <c r="AG693" s="6"/>
      <c r="AH693" s="6"/>
      <c r="AI693" s="6"/>
      <c r="AJ693" s="6"/>
      <c r="AK693" s="6"/>
      <c r="AL693" s="6"/>
      <c r="AM693" s="6"/>
      <c r="AN693" s="6"/>
      <c r="AO693" s="6"/>
    </row>
    <row r="694" spans="1:41" ht="14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15"/>
      <c r="AC694" s="15"/>
      <c r="AD694" s="15"/>
      <c r="AE694" s="15"/>
      <c r="AF694" s="6"/>
      <c r="AG694" s="6"/>
      <c r="AH694" s="6"/>
      <c r="AI694" s="6"/>
      <c r="AJ694" s="6"/>
      <c r="AK694" s="6"/>
      <c r="AL694" s="6"/>
      <c r="AM694" s="6"/>
      <c r="AN694" s="6"/>
      <c r="AO694" s="6"/>
    </row>
    <row r="695" spans="1:41" ht="14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15"/>
      <c r="AC695" s="15"/>
      <c r="AD695" s="15"/>
      <c r="AE695" s="15"/>
      <c r="AF695" s="6"/>
      <c r="AG695" s="6"/>
      <c r="AH695" s="6"/>
      <c r="AI695" s="6"/>
      <c r="AJ695" s="6"/>
      <c r="AK695" s="6"/>
      <c r="AL695" s="6"/>
      <c r="AM695" s="6"/>
      <c r="AN695" s="6"/>
      <c r="AO695" s="6"/>
    </row>
    <row r="696" spans="1:41" ht="14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15"/>
      <c r="AC696" s="15"/>
      <c r="AD696" s="15"/>
      <c r="AE696" s="15"/>
      <c r="AF696" s="6"/>
      <c r="AG696" s="6"/>
      <c r="AH696" s="6"/>
      <c r="AI696" s="6"/>
      <c r="AJ696" s="6"/>
      <c r="AK696" s="6"/>
      <c r="AL696" s="6"/>
      <c r="AM696" s="6"/>
      <c r="AN696" s="6"/>
      <c r="AO696" s="6"/>
    </row>
    <row r="697" spans="1:41" ht="14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15"/>
      <c r="AC697" s="15"/>
      <c r="AD697" s="15"/>
      <c r="AE697" s="15"/>
      <c r="AF697" s="6"/>
      <c r="AG697" s="6"/>
      <c r="AH697" s="6"/>
      <c r="AI697" s="6"/>
      <c r="AJ697" s="6"/>
      <c r="AK697" s="6"/>
      <c r="AL697" s="6"/>
      <c r="AM697" s="6"/>
      <c r="AN697" s="6"/>
      <c r="AO697" s="6"/>
    </row>
    <row r="698" spans="1:41" ht="14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15"/>
      <c r="AC698" s="15"/>
      <c r="AD698" s="15"/>
      <c r="AE698" s="15"/>
      <c r="AF698" s="6"/>
      <c r="AG698" s="6"/>
      <c r="AH698" s="6"/>
      <c r="AI698" s="6"/>
      <c r="AJ698" s="6"/>
      <c r="AK698" s="6"/>
      <c r="AL698" s="6"/>
      <c r="AM698" s="6"/>
      <c r="AN698" s="6"/>
      <c r="AO698" s="6"/>
    </row>
    <row r="699" spans="1:41" ht="14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15"/>
      <c r="AC699" s="15"/>
      <c r="AD699" s="15"/>
      <c r="AE699" s="15"/>
      <c r="AF699" s="6"/>
      <c r="AG699" s="6"/>
      <c r="AH699" s="6"/>
      <c r="AI699" s="6"/>
      <c r="AJ699" s="6"/>
      <c r="AK699" s="6"/>
      <c r="AL699" s="6"/>
      <c r="AM699" s="6"/>
      <c r="AN699" s="6"/>
      <c r="AO699" s="6"/>
    </row>
    <row r="700" spans="1:41" ht="14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15"/>
      <c r="AC700" s="15"/>
      <c r="AD700" s="15"/>
      <c r="AE700" s="15"/>
      <c r="AF700" s="6"/>
      <c r="AG700" s="6"/>
      <c r="AH700" s="6"/>
      <c r="AI700" s="6"/>
      <c r="AJ700" s="6"/>
      <c r="AK700" s="6"/>
      <c r="AL700" s="6"/>
      <c r="AM700" s="6"/>
      <c r="AN700" s="6"/>
      <c r="AO700" s="6"/>
    </row>
    <row r="701" spans="1:41" ht="14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15"/>
      <c r="AC701" s="15"/>
      <c r="AD701" s="15"/>
      <c r="AE701" s="15"/>
      <c r="AF701" s="6"/>
      <c r="AG701" s="6"/>
      <c r="AH701" s="6"/>
      <c r="AI701" s="6"/>
      <c r="AJ701" s="6"/>
      <c r="AK701" s="6"/>
      <c r="AL701" s="6"/>
      <c r="AM701" s="6"/>
      <c r="AN701" s="6"/>
      <c r="AO701" s="6"/>
    </row>
    <row r="702" spans="1:41" ht="14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15"/>
      <c r="AC702" s="15"/>
      <c r="AD702" s="15"/>
      <c r="AE702" s="15"/>
      <c r="AF702" s="6"/>
      <c r="AG702" s="6"/>
      <c r="AH702" s="6"/>
      <c r="AI702" s="6"/>
      <c r="AJ702" s="6"/>
      <c r="AK702" s="6"/>
      <c r="AL702" s="6"/>
      <c r="AM702" s="6"/>
      <c r="AN702" s="6"/>
      <c r="AO702" s="6"/>
    </row>
    <row r="703" spans="1:41" ht="14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15"/>
      <c r="AC703" s="15"/>
      <c r="AD703" s="15"/>
      <c r="AE703" s="15"/>
      <c r="AF703" s="6"/>
      <c r="AG703" s="6"/>
      <c r="AH703" s="6"/>
      <c r="AI703" s="6"/>
      <c r="AJ703" s="6"/>
      <c r="AK703" s="6"/>
      <c r="AL703" s="6"/>
      <c r="AM703" s="6"/>
      <c r="AN703" s="6"/>
      <c r="AO703" s="6"/>
    </row>
    <row r="704" spans="1:41" ht="14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15"/>
      <c r="AC704" s="15"/>
      <c r="AD704" s="15"/>
      <c r="AE704" s="15"/>
      <c r="AF704" s="6"/>
      <c r="AG704" s="6"/>
      <c r="AH704" s="6"/>
      <c r="AI704" s="6"/>
      <c r="AJ704" s="6"/>
      <c r="AK704" s="6"/>
      <c r="AL704" s="6"/>
      <c r="AM704" s="6"/>
      <c r="AN704" s="6"/>
      <c r="AO704" s="6"/>
    </row>
    <row r="705" spans="1:41" ht="14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15"/>
      <c r="AC705" s="15"/>
      <c r="AD705" s="15"/>
      <c r="AE705" s="15"/>
      <c r="AF705" s="6"/>
      <c r="AG705" s="6"/>
      <c r="AH705" s="6"/>
      <c r="AI705" s="6"/>
      <c r="AJ705" s="6"/>
      <c r="AK705" s="6"/>
      <c r="AL705" s="6"/>
      <c r="AM705" s="6"/>
      <c r="AN705" s="6"/>
      <c r="AO705" s="6"/>
    </row>
    <row r="706" spans="1:41" ht="14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15"/>
      <c r="AC706" s="15"/>
      <c r="AD706" s="15"/>
      <c r="AE706" s="15"/>
      <c r="AF706" s="6"/>
      <c r="AG706" s="6"/>
      <c r="AH706" s="6"/>
      <c r="AI706" s="6"/>
      <c r="AJ706" s="6"/>
      <c r="AK706" s="6"/>
      <c r="AL706" s="6"/>
      <c r="AM706" s="6"/>
      <c r="AN706" s="6"/>
      <c r="AO706" s="6"/>
    </row>
    <row r="707" spans="1:41" ht="14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15"/>
      <c r="AC707" s="15"/>
      <c r="AD707" s="15"/>
      <c r="AE707" s="15"/>
      <c r="AF707" s="6"/>
      <c r="AG707" s="6"/>
      <c r="AH707" s="6"/>
      <c r="AI707" s="6"/>
      <c r="AJ707" s="6"/>
      <c r="AK707" s="6"/>
      <c r="AL707" s="6"/>
      <c r="AM707" s="6"/>
      <c r="AN707" s="6"/>
      <c r="AO707" s="6"/>
    </row>
    <row r="708" spans="1:41" ht="14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15"/>
      <c r="AC708" s="15"/>
      <c r="AD708" s="15"/>
      <c r="AE708" s="15"/>
      <c r="AF708" s="6"/>
      <c r="AG708" s="6"/>
      <c r="AH708" s="6"/>
      <c r="AI708" s="6"/>
      <c r="AJ708" s="6"/>
      <c r="AK708" s="6"/>
      <c r="AL708" s="6"/>
      <c r="AM708" s="6"/>
      <c r="AN708" s="6"/>
      <c r="AO708" s="6"/>
    </row>
    <row r="709" spans="1:41" ht="14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15"/>
      <c r="AC709" s="15"/>
      <c r="AD709" s="15"/>
      <c r="AE709" s="15"/>
      <c r="AF709" s="6"/>
      <c r="AG709" s="6"/>
      <c r="AH709" s="6"/>
      <c r="AI709" s="6"/>
      <c r="AJ709" s="6"/>
      <c r="AK709" s="6"/>
      <c r="AL709" s="6"/>
      <c r="AM709" s="6"/>
      <c r="AN709" s="6"/>
      <c r="AO709" s="6"/>
    </row>
    <row r="710" spans="1:41" ht="14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15"/>
      <c r="AC710" s="15"/>
      <c r="AD710" s="15"/>
      <c r="AE710" s="15"/>
      <c r="AF710" s="6"/>
      <c r="AG710" s="6"/>
      <c r="AH710" s="6"/>
      <c r="AI710" s="6"/>
      <c r="AJ710" s="6"/>
      <c r="AK710" s="6"/>
      <c r="AL710" s="6"/>
      <c r="AM710" s="6"/>
      <c r="AN710" s="6"/>
      <c r="AO710" s="6"/>
    </row>
    <row r="711" spans="1:41" ht="14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15"/>
      <c r="AC711" s="15"/>
      <c r="AD711" s="15"/>
      <c r="AE711" s="15"/>
      <c r="AF711" s="6"/>
      <c r="AG711" s="6"/>
      <c r="AH711" s="6"/>
      <c r="AI711" s="6"/>
      <c r="AJ711" s="6"/>
      <c r="AK711" s="6"/>
      <c r="AL711" s="6"/>
      <c r="AM711" s="6"/>
      <c r="AN711" s="6"/>
      <c r="AO711" s="6"/>
    </row>
    <row r="712" spans="1:41" ht="14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15"/>
      <c r="AC712" s="15"/>
      <c r="AD712" s="15"/>
      <c r="AE712" s="15"/>
      <c r="AF712" s="6"/>
      <c r="AG712" s="6"/>
      <c r="AH712" s="6"/>
      <c r="AI712" s="6"/>
      <c r="AJ712" s="6"/>
      <c r="AK712" s="6"/>
      <c r="AL712" s="6"/>
      <c r="AM712" s="6"/>
      <c r="AN712" s="6"/>
      <c r="AO712" s="6"/>
    </row>
    <row r="713" spans="1:41" ht="14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15"/>
      <c r="AC713" s="15"/>
      <c r="AD713" s="15"/>
      <c r="AE713" s="15"/>
      <c r="AF713" s="6"/>
      <c r="AG713" s="6"/>
      <c r="AH713" s="6"/>
      <c r="AI713" s="6"/>
      <c r="AJ713" s="6"/>
      <c r="AK713" s="6"/>
      <c r="AL713" s="6"/>
      <c r="AM713" s="6"/>
      <c r="AN713" s="6"/>
      <c r="AO713" s="6"/>
    </row>
    <row r="714" spans="1:41" ht="14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15"/>
      <c r="AC714" s="15"/>
      <c r="AD714" s="15"/>
      <c r="AE714" s="15"/>
      <c r="AF714" s="6"/>
      <c r="AG714" s="6"/>
      <c r="AH714" s="6"/>
      <c r="AI714" s="6"/>
      <c r="AJ714" s="6"/>
      <c r="AK714" s="6"/>
      <c r="AL714" s="6"/>
      <c r="AM714" s="6"/>
      <c r="AN714" s="6"/>
      <c r="AO714" s="6"/>
    </row>
    <row r="715" spans="1:41" ht="14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15"/>
      <c r="AC715" s="15"/>
      <c r="AD715" s="15"/>
      <c r="AE715" s="15"/>
      <c r="AF715" s="6"/>
      <c r="AG715" s="6"/>
      <c r="AH715" s="6"/>
      <c r="AI715" s="6"/>
      <c r="AJ715" s="6"/>
      <c r="AK715" s="6"/>
      <c r="AL715" s="6"/>
      <c r="AM715" s="6"/>
      <c r="AN715" s="6"/>
      <c r="AO715" s="6"/>
    </row>
    <row r="716" spans="1:41" ht="14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15"/>
      <c r="AC716" s="15"/>
      <c r="AD716" s="15"/>
      <c r="AE716" s="15"/>
      <c r="AF716" s="6"/>
      <c r="AG716" s="6"/>
      <c r="AH716" s="6"/>
      <c r="AI716" s="6"/>
      <c r="AJ716" s="6"/>
      <c r="AK716" s="6"/>
      <c r="AL716" s="6"/>
      <c r="AM716" s="6"/>
      <c r="AN716" s="6"/>
      <c r="AO716" s="6"/>
    </row>
    <row r="717" spans="1:41" ht="14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15"/>
      <c r="AC717" s="15"/>
      <c r="AD717" s="15"/>
      <c r="AE717" s="15"/>
      <c r="AF717" s="6"/>
      <c r="AG717" s="6"/>
      <c r="AH717" s="6"/>
      <c r="AI717" s="6"/>
      <c r="AJ717" s="6"/>
      <c r="AK717" s="6"/>
      <c r="AL717" s="6"/>
      <c r="AM717" s="6"/>
      <c r="AN717" s="6"/>
      <c r="AO717" s="6"/>
    </row>
    <row r="718" spans="1:41" ht="14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15"/>
      <c r="AC718" s="15"/>
      <c r="AD718" s="15"/>
      <c r="AE718" s="15"/>
      <c r="AF718" s="6"/>
      <c r="AG718" s="6"/>
      <c r="AH718" s="6"/>
      <c r="AI718" s="6"/>
      <c r="AJ718" s="6"/>
      <c r="AK718" s="6"/>
      <c r="AL718" s="6"/>
      <c r="AM718" s="6"/>
      <c r="AN718" s="6"/>
      <c r="AO718" s="6"/>
    </row>
    <row r="719" spans="1:41" ht="14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15"/>
      <c r="AC719" s="15"/>
      <c r="AD719" s="15"/>
      <c r="AE719" s="15"/>
      <c r="AF719" s="6"/>
      <c r="AG719" s="6"/>
      <c r="AH719" s="6"/>
      <c r="AI719" s="6"/>
      <c r="AJ719" s="6"/>
      <c r="AK719" s="6"/>
      <c r="AL719" s="6"/>
      <c r="AM719" s="6"/>
      <c r="AN719" s="6"/>
      <c r="AO719" s="6"/>
    </row>
    <row r="720" spans="1:41" ht="14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15"/>
      <c r="AC720" s="15"/>
      <c r="AD720" s="15"/>
      <c r="AE720" s="15"/>
      <c r="AF720" s="6"/>
      <c r="AG720" s="6"/>
      <c r="AH720" s="6"/>
      <c r="AI720" s="6"/>
      <c r="AJ720" s="6"/>
      <c r="AK720" s="6"/>
      <c r="AL720" s="6"/>
      <c r="AM720" s="6"/>
      <c r="AN720" s="6"/>
      <c r="AO720" s="6"/>
    </row>
    <row r="721" spans="1:41" ht="14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15"/>
      <c r="AC721" s="15"/>
      <c r="AD721" s="15"/>
      <c r="AE721" s="15"/>
      <c r="AF721" s="6"/>
      <c r="AG721" s="6"/>
      <c r="AH721" s="6"/>
      <c r="AI721" s="6"/>
      <c r="AJ721" s="6"/>
      <c r="AK721" s="6"/>
      <c r="AL721" s="6"/>
      <c r="AM721" s="6"/>
      <c r="AN721" s="6"/>
      <c r="AO721" s="6"/>
    </row>
    <row r="722" spans="1:41" ht="14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15"/>
      <c r="AC722" s="15"/>
      <c r="AD722" s="15"/>
      <c r="AE722" s="15"/>
      <c r="AF722" s="6"/>
      <c r="AG722" s="6"/>
      <c r="AH722" s="6"/>
      <c r="AI722" s="6"/>
      <c r="AJ722" s="6"/>
      <c r="AK722" s="6"/>
      <c r="AL722" s="6"/>
      <c r="AM722" s="6"/>
      <c r="AN722" s="6"/>
      <c r="AO722" s="6"/>
    </row>
    <row r="723" spans="1:41" ht="14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15"/>
      <c r="AC723" s="15"/>
      <c r="AD723" s="15"/>
      <c r="AE723" s="15"/>
      <c r="AF723" s="6"/>
      <c r="AG723" s="6"/>
      <c r="AH723" s="6"/>
      <c r="AI723" s="6"/>
      <c r="AJ723" s="6"/>
      <c r="AK723" s="6"/>
      <c r="AL723" s="6"/>
      <c r="AM723" s="6"/>
      <c r="AN723" s="6"/>
      <c r="AO723" s="6"/>
    </row>
    <row r="724" spans="1:41" ht="14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15"/>
      <c r="AC724" s="15"/>
      <c r="AD724" s="15"/>
      <c r="AE724" s="15"/>
      <c r="AF724" s="6"/>
      <c r="AG724" s="6"/>
      <c r="AH724" s="6"/>
      <c r="AI724" s="6"/>
      <c r="AJ724" s="6"/>
      <c r="AK724" s="6"/>
      <c r="AL724" s="6"/>
      <c r="AM724" s="6"/>
      <c r="AN724" s="6"/>
      <c r="AO724" s="6"/>
    </row>
    <row r="725" spans="1:41" ht="14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15"/>
      <c r="AC725" s="15"/>
      <c r="AD725" s="15"/>
      <c r="AE725" s="15"/>
      <c r="AF725" s="6"/>
      <c r="AG725" s="6"/>
      <c r="AH725" s="6"/>
      <c r="AI725" s="6"/>
      <c r="AJ725" s="6"/>
      <c r="AK725" s="6"/>
      <c r="AL725" s="6"/>
      <c r="AM725" s="6"/>
      <c r="AN725" s="6"/>
      <c r="AO725" s="6"/>
    </row>
    <row r="726" spans="1:41" ht="14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15"/>
      <c r="AC726" s="15"/>
      <c r="AD726" s="15"/>
      <c r="AE726" s="15"/>
      <c r="AF726" s="6"/>
      <c r="AG726" s="6"/>
      <c r="AH726" s="6"/>
      <c r="AI726" s="6"/>
      <c r="AJ726" s="6"/>
      <c r="AK726" s="6"/>
      <c r="AL726" s="6"/>
      <c r="AM726" s="6"/>
      <c r="AN726" s="6"/>
      <c r="AO726" s="6"/>
    </row>
    <row r="727" spans="1:41" ht="14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15"/>
      <c r="AC727" s="15"/>
      <c r="AD727" s="15"/>
      <c r="AE727" s="15"/>
      <c r="AF727" s="6"/>
      <c r="AG727" s="6"/>
      <c r="AH727" s="6"/>
      <c r="AI727" s="6"/>
      <c r="AJ727" s="6"/>
      <c r="AK727" s="6"/>
      <c r="AL727" s="6"/>
      <c r="AM727" s="6"/>
      <c r="AN727" s="6"/>
      <c r="AO727" s="6"/>
    </row>
    <row r="728" spans="1:41" ht="14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15"/>
      <c r="AC728" s="15"/>
      <c r="AD728" s="15"/>
      <c r="AE728" s="15"/>
      <c r="AF728" s="6"/>
      <c r="AG728" s="6"/>
      <c r="AH728" s="6"/>
      <c r="AI728" s="6"/>
      <c r="AJ728" s="6"/>
      <c r="AK728" s="6"/>
      <c r="AL728" s="6"/>
      <c r="AM728" s="6"/>
      <c r="AN728" s="6"/>
      <c r="AO728" s="6"/>
    </row>
    <row r="729" spans="1:41" ht="14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15"/>
      <c r="AC729" s="15"/>
      <c r="AD729" s="15"/>
      <c r="AE729" s="15"/>
      <c r="AF729" s="6"/>
      <c r="AG729" s="6"/>
      <c r="AH729" s="6"/>
      <c r="AI729" s="6"/>
      <c r="AJ729" s="6"/>
      <c r="AK729" s="6"/>
      <c r="AL729" s="6"/>
      <c r="AM729" s="6"/>
      <c r="AN729" s="6"/>
      <c r="AO729" s="6"/>
    </row>
    <row r="730" spans="1:41" ht="14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15"/>
      <c r="AC730" s="15"/>
      <c r="AD730" s="15"/>
      <c r="AE730" s="15"/>
      <c r="AF730" s="6"/>
      <c r="AG730" s="6"/>
      <c r="AH730" s="6"/>
      <c r="AI730" s="6"/>
      <c r="AJ730" s="6"/>
      <c r="AK730" s="6"/>
      <c r="AL730" s="6"/>
      <c r="AM730" s="6"/>
      <c r="AN730" s="6"/>
      <c r="AO730" s="6"/>
    </row>
    <row r="731" spans="1:41" ht="14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15"/>
      <c r="AC731" s="15"/>
      <c r="AD731" s="15"/>
      <c r="AE731" s="15"/>
      <c r="AF731" s="6"/>
      <c r="AG731" s="6"/>
      <c r="AH731" s="6"/>
      <c r="AI731" s="6"/>
      <c r="AJ731" s="6"/>
      <c r="AK731" s="6"/>
      <c r="AL731" s="6"/>
      <c r="AM731" s="6"/>
      <c r="AN731" s="6"/>
      <c r="AO731" s="6"/>
    </row>
    <row r="732" spans="1:41" ht="14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15"/>
      <c r="AC732" s="15"/>
      <c r="AD732" s="15"/>
      <c r="AE732" s="15"/>
      <c r="AF732" s="6"/>
      <c r="AG732" s="6"/>
      <c r="AH732" s="6"/>
      <c r="AI732" s="6"/>
      <c r="AJ732" s="6"/>
      <c r="AK732" s="6"/>
      <c r="AL732" s="6"/>
      <c r="AM732" s="6"/>
      <c r="AN732" s="6"/>
      <c r="AO732" s="6"/>
    </row>
    <row r="733" spans="1:41" ht="14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15"/>
      <c r="AC733" s="15"/>
      <c r="AD733" s="15"/>
      <c r="AE733" s="15"/>
      <c r="AF733" s="6"/>
      <c r="AG733" s="6"/>
      <c r="AH733" s="6"/>
      <c r="AI733" s="6"/>
      <c r="AJ733" s="6"/>
      <c r="AK733" s="6"/>
      <c r="AL733" s="6"/>
      <c r="AM733" s="6"/>
      <c r="AN733" s="6"/>
      <c r="AO733" s="6"/>
    </row>
    <row r="734" spans="1:41" ht="14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15"/>
      <c r="AC734" s="15"/>
      <c r="AD734" s="15"/>
      <c r="AE734" s="15"/>
      <c r="AF734" s="6"/>
      <c r="AG734" s="6"/>
      <c r="AH734" s="6"/>
      <c r="AI734" s="6"/>
      <c r="AJ734" s="6"/>
      <c r="AK734" s="6"/>
      <c r="AL734" s="6"/>
      <c r="AM734" s="6"/>
      <c r="AN734" s="6"/>
      <c r="AO734" s="6"/>
    </row>
    <row r="735" spans="1:41" ht="14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15"/>
      <c r="AC735" s="15"/>
      <c r="AD735" s="15"/>
      <c r="AE735" s="15"/>
      <c r="AF735" s="6"/>
      <c r="AG735" s="6"/>
      <c r="AH735" s="6"/>
      <c r="AI735" s="6"/>
      <c r="AJ735" s="6"/>
      <c r="AK735" s="6"/>
      <c r="AL735" s="6"/>
      <c r="AM735" s="6"/>
      <c r="AN735" s="6"/>
      <c r="AO735" s="6"/>
    </row>
    <row r="736" spans="1:41" ht="14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15"/>
      <c r="AC736" s="15"/>
      <c r="AD736" s="15"/>
      <c r="AE736" s="15"/>
      <c r="AF736" s="6"/>
      <c r="AG736" s="6"/>
      <c r="AH736" s="6"/>
      <c r="AI736" s="6"/>
      <c r="AJ736" s="6"/>
      <c r="AK736" s="6"/>
      <c r="AL736" s="6"/>
      <c r="AM736" s="6"/>
      <c r="AN736" s="6"/>
      <c r="AO736" s="6"/>
    </row>
    <row r="737" spans="1:41" ht="14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15"/>
      <c r="AC737" s="15"/>
      <c r="AD737" s="15"/>
      <c r="AE737" s="15"/>
      <c r="AF737" s="6"/>
      <c r="AG737" s="6"/>
      <c r="AH737" s="6"/>
      <c r="AI737" s="6"/>
      <c r="AJ737" s="6"/>
      <c r="AK737" s="6"/>
      <c r="AL737" s="6"/>
      <c r="AM737" s="6"/>
      <c r="AN737" s="6"/>
      <c r="AO737" s="6"/>
    </row>
    <row r="738" spans="1:41" ht="14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15"/>
      <c r="AC738" s="15"/>
      <c r="AD738" s="15"/>
      <c r="AE738" s="15"/>
      <c r="AF738" s="6"/>
      <c r="AG738" s="6"/>
      <c r="AH738" s="6"/>
      <c r="AI738" s="6"/>
      <c r="AJ738" s="6"/>
      <c r="AK738" s="6"/>
      <c r="AL738" s="6"/>
      <c r="AM738" s="6"/>
      <c r="AN738" s="6"/>
      <c r="AO738" s="6"/>
    </row>
    <row r="739" spans="1:41" ht="14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15"/>
      <c r="AC739" s="15"/>
      <c r="AD739" s="15"/>
      <c r="AE739" s="15"/>
      <c r="AF739" s="6"/>
      <c r="AG739" s="6"/>
      <c r="AH739" s="6"/>
      <c r="AI739" s="6"/>
      <c r="AJ739" s="6"/>
      <c r="AK739" s="6"/>
      <c r="AL739" s="6"/>
      <c r="AM739" s="6"/>
      <c r="AN739" s="6"/>
      <c r="AO739" s="6"/>
    </row>
    <row r="740" spans="1:41" ht="14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15"/>
      <c r="AC740" s="15"/>
      <c r="AD740" s="15"/>
      <c r="AE740" s="15"/>
      <c r="AF740" s="6"/>
      <c r="AG740" s="6"/>
      <c r="AH740" s="6"/>
      <c r="AI740" s="6"/>
      <c r="AJ740" s="6"/>
      <c r="AK740" s="6"/>
      <c r="AL740" s="6"/>
      <c r="AM740" s="6"/>
      <c r="AN740" s="6"/>
      <c r="AO740" s="6"/>
    </row>
    <row r="741" spans="1:41" ht="14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15"/>
      <c r="AC741" s="15"/>
      <c r="AD741" s="15"/>
      <c r="AE741" s="15"/>
      <c r="AF741" s="6"/>
      <c r="AG741" s="6"/>
      <c r="AH741" s="6"/>
      <c r="AI741" s="6"/>
      <c r="AJ741" s="6"/>
      <c r="AK741" s="6"/>
      <c r="AL741" s="6"/>
      <c r="AM741" s="6"/>
      <c r="AN741" s="6"/>
      <c r="AO741" s="6"/>
    </row>
    <row r="742" spans="1:41" ht="14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15"/>
      <c r="AC742" s="15"/>
      <c r="AD742" s="15"/>
      <c r="AE742" s="15"/>
      <c r="AF742" s="6"/>
      <c r="AG742" s="6"/>
      <c r="AH742" s="6"/>
      <c r="AI742" s="6"/>
      <c r="AJ742" s="6"/>
      <c r="AK742" s="6"/>
      <c r="AL742" s="6"/>
      <c r="AM742" s="6"/>
      <c r="AN742" s="6"/>
      <c r="AO742" s="6"/>
    </row>
    <row r="743" spans="1:41" ht="14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15"/>
      <c r="AC743" s="15"/>
      <c r="AD743" s="15"/>
      <c r="AE743" s="15"/>
      <c r="AF743" s="6"/>
      <c r="AG743" s="6"/>
      <c r="AH743" s="6"/>
      <c r="AI743" s="6"/>
      <c r="AJ743" s="6"/>
      <c r="AK743" s="6"/>
      <c r="AL743" s="6"/>
      <c r="AM743" s="6"/>
      <c r="AN743" s="6"/>
      <c r="AO743" s="6"/>
    </row>
    <row r="744" spans="1:41" ht="14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15"/>
      <c r="AC744" s="15"/>
      <c r="AD744" s="15"/>
      <c r="AE744" s="15"/>
      <c r="AF744" s="6"/>
      <c r="AG744" s="6"/>
      <c r="AH744" s="6"/>
      <c r="AI744" s="6"/>
      <c r="AJ744" s="6"/>
      <c r="AK744" s="6"/>
      <c r="AL744" s="6"/>
      <c r="AM744" s="6"/>
      <c r="AN744" s="6"/>
      <c r="AO744" s="6"/>
    </row>
    <row r="745" spans="1:41" ht="14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15"/>
      <c r="AC745" s="15"/>
      <c r="AD745" s="15"/>
      <c r="AE745" s="15"/>
      <c r="AF745" s="6"/>
      <c r="AG745" s="6"/>
      <c r="AH745" s="6"/>
      <c r="AI745" s="6"/>
      <c r="AJ745" s="6"/>
      <c r="AK745" s="6"/>
      <c r="AL745" s="6"/>
      <c r="AM745" s="6"/>
      <c r="AN745" s="6"/>
      <c r="AO745" s="6"/>
    </row>
    <row r="746" spans="1:41" ht="14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15"/>
      <c r="AC746" s="15"/>
      <c r="AD746" s="15"/>
      <c r="AE746" s="15"/>
      <c r="AF746" s="6"/>
      <c r="AG746" s="6"/>
      <c r="AH746" s="6"/>
      <c r="AI746" s="6"/>
      <c r="AJ746" s="6"/>
      <c r="AK746" s="6"/>
      <c r="AL746" s="6"/>
      <c r="AM746" s="6"/>
      <c r="AN746" s="6"/>
      <c r="AO746" s="6"/>
    </row>
    <row r="747" spans="1:41" ht="14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15"/>
      <c r="AC747" s="15"/>
      <c r="AD747" s="15"/>
      <c r="AE747" s="15"/>
      <c r="AF747" s="6"/>
      <c r="AG747" s="6"/>
      <c r="AH747" s="6"/>
      <c r="AI747" s="6"/>
      <c r="AJ747" s="6"/>
      <c r="AK747" s="6"/>
      <c r="AL747" s="6"/>
      <c r="AM747" s="6"/>
      <c r="AN747" s="6"/>
      <c r="AO747" s="6"/>
    </row>
    <row r="748" spans="1:41" ht="14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15"/>
      <c r="AC748" s="15"/>
      <c r="AD748" s="15"/>
      <c r="AE748" s="15"/>
      <c r="AF748" s="6"/>
      <c r="AG748" s="6"/>
      <c r="AH748" s="6"/>
      <c r="AI748" s="6"/>
      <c r="AJ748" s="6"/>
      <c r="AK748" s="6"/>
      <c r="AL748" s="6"/>
      <c r="AM748" s="6"/>
      <c r="AN748" s="6"/>
      <c r="AO748" s="6"/>
    </row>
    <row r="749" spans="1:41" ht="14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15"/>
      <c r="AC749" s="15"/>
      <c r="AD749" s="15"/>
      <c r="AE749" s="15"/>
      <c r="AF749" s="6"/>
      <c r="AG749" s="6"/>
      <c r="AH749" s="6"/>
      <c r="AI749" s="6"/>
      <c r="AJ749" s="6"/>
      <c r="AK749" s="6"/>
      <c r="AL749" s="6"/>
      <c r="AM749" s="6"/>
      <c r="AN749" s="6"/>
      <c r="AO749" s="6"/>
    </row>
    <row r="750" spans="1:41" ht="14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15"/>
      <c r="AC750" s="15"/>
      <c r="AD750" s="15"/>
      <c r="AE750" s="15"/>
      <c r="AF750" s="6"/>
      <c r="AG750" s="6"/>
      <c r="AH750" s="6"/>
      <c r="AI750" s="6"/>
      <c r="AJ750" s="6"/>
      <c r="AK750" s="6"/>
      <c r="AL750" s="6"/>
      <c r="AM750" s="6"/>
      <c r="AN750" s="6"/>
      <c r="AO750" s="6"/>
    </row>
    <row r="751" spans="1:41" ht="14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15"/>
      <c r="AC751" s="15"/>
      <c r="AD751" s="15"/>
      <c r="AE751" s="15"/>
      <c r="AF751" s="6"/>
      <c r="AG751" s="6"/>
      <c r="AH751" s="6"/>
      <c r="AI751" s="6"/>
      <c r="AJ751" s="6"/>
      <c r="AK751" s="6"/>
      <c r="AL751" s="6"/>
      <c r="AM751" s="6"/>
      <c r="AN751" s="6"/>
      <c r="AO751" s="6"/>
    </row>
    <row r="752" spans="1:41" ht="14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15"/>
      <c r="AC752" s="15"/>
      <c r="AD752" s="15"/>
      <c r="AE752" s="15"/>
      <c r="AF752" s="6"/>
      <c r="AG752" s="6"/>
      <c r="AH752" s="6"/>
      <c r="AI752" s="6"/>
      <c r="AJ752" s="6"/>
      <c r="AK752" s="6"/>
      <c r="AL752" s="6"/>
      <c r="AM752" s="6"/>
      <c r="AN752" s="6"/>
      <c r="AO752" s="6"/>
    </row>
    <row r="753" spans="1:41" ht="14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15"/>
      <c r="AC753" s="15"/>
      <c r="AD753" s="15"/>
      <c r="AE753" s="15"/>
      <c r="AF753" s="6"/>
      <c r="AG753" s="6"/>
      <c r="AH753" s="6"/>
      <c r="AI753" s="6"/>
      <c r="AJ753" s="6"/>
      <c r="AK753" s="6"/>
      <c r="AL753" s="6"/>
      <c r="AM753" s="6"/>
      <c r="AN753" s="6"/>
      <c r="AO753" s="6"/>
    </row>
    <row r="754" spans="1:41" ht="14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15"/>
      <c r="AC754" s="15"/>
      <c r="AD754" s="15"/>
      <c r="AE754" s="15"/>
      <c r="AF754" s="6"/>
      <c r="AG754" s="6"/>
      <c r="AH754" s="6"/>
      <c r="AI754" s="6"/>
      <c r="AJ754" s="6"/>
      <c r="AK754" s="6"/>
      <c r="AL754" s="6"/>
      <c r="AM754" s="6"/>
      <c r="AN754" s="6"/>
      <c r="AO754" s="6"/>
    </row>
    <row r="755" spans="1:41" ht="14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15"/>
      <c r="AC755" s="15"/>
      <c r="AD755" s="15"/>
      <c r="AE755" s="15"/>
      <c r="AF755" s="6"/>
      <c r="AG755" s="6"/>
      <c r="AH755" s="6"/>
      <c r="AI755" s="6"/>
      <c r="AJ755" s="6"/>
      <c r="AK755" s="6"/>
      <c r="AL755" s="6"/>
      <c r="AM755" s="6"/>
      <c r="AN755" s="6"/>
      <c r="AO755" s="6"/>
    </row>
    <row r="756" spans="1:41" ht="14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15"/>
      <c r="AC756" s="15"/>
      <c r="AD756" s="15"/>
      <c r="AE756" s="15"/>
      <c r="AF756" s="6"/>
      <c r="AG756" s="6"/>
      <c r="AH756" s="6"/>
      <c r="AI756" s="6"/>
      <c r="AJ756" s="6"/>
      <c r="AK756" s="6"/>
      <c r="AL756" s="6"/>
      <c r="AM756" s="6"/>
      <c r="AN756" s="6"/>
      <c r="AO756" s="6"/>
    </row>
    <row r="757" spans="1:41" ht="14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15"/>
      <c r="AC757" s="15"/>
      <c r="AD757" s="15"/>
      <c r="AE757" s="15"/>
      <c r="AF757" s="6"/>
      <c r="AG757" s="6"/>
      <c r="AH757" s="6"/>
      <c r="AI757" s="6"/>
      <c r="AJ757" s="6"/>
      <c r="AK757" s="6"/>
      <c r="AL757" s="6"/>
      <c r="AM757" s="6"/>
      <c r="AN757" s="6"/>
      <c r="AO757" s="6"/>
    </row>
    <row r="758" spans="1:41" ht="14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15"/>
      <c r="AC758" s="15"/>
      <c r="AD758" s="15"/>
      <c r="AE758" s="15"/>
      <c r="AF758" s="6"/>
      <c r="AG758" s="6"/>
      <c r="AH758" s="6"/>
      <c r="AI758" s="6"/>
      <c r="AJ758" s="6"/>
      <c r="AK758" s="6"/>
      <c r="AL758" s="6"/>
      <c r="AM758" s="6"/>
      <c r="AN758" s="6"/>
      <c r="AO758" s="6"/>
    </row>
    <row r="759" spans="1:41" ht="14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15"/>
      <c r="AC759" s="15"/>
      <c r="AD759" s="15"/>
      <c r="AE759" s="15"/>
      <c r="AF759" s="6"/>
      <c r="AG759" s="6"/>
      <c r="AH759" s="6"/>
      <c r="AI759" s="6"/>
      <c r="AJ759" s="6"/>
      <c r="AK759" s="6"/>
      <c r="AL759" s="6"/>
      <c r="AM759" s="6"/>
      <c r="AN759" s="6"/>
      <c r="AO759" s="6"/>
    </row>
    <row r="760" spans="1:41" ht="14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15"/>
      <c r="AC760" s="15"/>
      <c r="AD760" s="15"/>
      <c r="AE760" s="15"/>
      <c r="AF760" s="6"/>
      <c r="AG760" s="6"/>
      <c r="AH760" s="6"/>
      <c r="AI760" s="6"/>
      <c r="AJ760" s="6"/>
      <c r="AK760" s="6"/>
      <c r="AL760" s="6"/>
      <c r="AM760" s="6"/>
      <c r="AN760" s="6"/>
      <c r="AO760" s="6"/>
    </row>
    <row r="761" spans="1:41" ht="14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15"/>
      <c r="AC761" s="15"/>
      <c r="AD761" s="15"/>
      <c r="AE761" s="15"/>
      <c r="AF761" s="6"/>
      <c r="AG761" s="6"/>
      <c r="AH761" s="6"/>
      <c r="AI761" s="6"/>
      <c r="AJ761" s="6"/>
      <c r="AK761" s="6"/>
      <c r="AL761" s="6"/>
      <c r="AM761" s="6"/>
      <c r="AN761" s="6"/>
      <c r="AO761" s="6"/>
    </row>
    <row r="762" spans="1:41" ht="14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15"/>
      <c r="AC762" s="15"/>
      <c r="AD762" s="15"/>
      <c r="AE762" s="15"/>
      <c r="AF762" s="6"/>
      <c r="AG762" s="6"/>
      <c r="AH762" s="6"/>
      <c r="AI762" s="6"/>
      <c r="AJ762" s="6"/>
      <c r="AK762" s="6"/>
      <c r="AL762" s="6"/>
      <c r="AM762" s="6"/>
      <c r="AN762" s="6"/>
      <c r="AO762" s="6"/>
    </row>
    <row r="763" spans="1:41" ht="14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15"/>
      <c r="AC763" s="15"/>
      <c r="AD763" s="15"/>
      <c r="AE763" s="15"/>
      <c r="AF763" s="6"/>
      <c r="AG763" s="6"/>
      <c r="AH763" s="6"/>
      <c r="AI763" s="6"/>
      <c r="AJ763" s="6"/>
      <c r="AK763" s="6"/>
      <c r="AL763" s="6"/>
      <c r="AM763" s="6"/>
      <c r="AN763" s="6"/>
      <c r="AO763" s="6"/>
    </row>
    <row r="764" spans="1:41" ht="14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15"/>
      <c r="AC764" s="15"/>
      <c r="AD764" s="15"/>
      <c r="AE764" s="15"/>
      <c r="AF764" s="6"/>
      <c r="AG764" s="6"/>
      <c r="AH764" s="6"/>
      <c r="AI764" s="6"/>
      <c r="AJ764" s="6"/>
      <c r="AK764" s="6"/>
      <c r="AL764" s="6"/>
      <c r="AM764" s="6"/>
      <c r="AN764" s="6"/>
      <c r="AO764" s="6"/>
    </row>
    <row r="765" spans="1:41" ht="14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15"/>
      <c r="AC765" s="15"/>
      <c r="AD765" s="15"/>
      <c r="AE765" s="15"/>
      <c r="AF765" s="6"/>
      <c r="AG765" s="6"/>
      <c r="AH765" s="6"/>
      <c r="AI765" s="6"/>
      <c r="AJ765" s="6"/>
      <c r="AK765" s="6"/>
      <c r="AL765" s="6"/>
      <c r="AM765" s="6"/>
      <c r="AN765" s="6"/>
      <c r="AO765" s="6"/>
    </row>
    <row r="766" spans="1:41" ht="14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15"/>
      <c r="AC766" s="15"/>
      <c r="AD766" s="15"/>
      <c r="AE766" s="15"/>
      <c r="AF766" s="6"/>
      <c r="AG766" s="6"/>
      <c r="AH766" s="6"/>
      <c r="AI766" s="6"/>
      <c r="AJ766" s="6"/>
      <c r="AK766" s="6"/>
      <c r="AL766" s="6"/>
      <c r="AM766" s="6"/>
      <c r="AN766" s="6"/>
      <c r="AO766" s="6"/>
    </row>
    <row r="767" spans="1:41" ht="14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15"/>
      <c r="AC767" s="15"/>
      <c r="AD767" s="15"/>
      <c r="AE767" s="15"/>
      <c r="AF767" s="6"/>
      <c r="AG767" s="6"/>
      <c r="AH767" s="6"/>
      <c r="AI767" s="6"/>
      <c r="AJ767" s="6"/>
      <c r="AK767" s="6"/>
      <c r="AL767" s="6"/>
      <c r="AM767" s="6"/>
      <c r="AN767" s="6"/>
      <c r="AO767" s="6"/>
    </row>
    <row r="768" spans="1:41" ht="14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15"/>
      <c r="AC768" s="15"/>
      <c r="AD768" s="15"/>
      <c r="AE768" s="15"/>
      <c r="AF768" s="6"/>
      <c r="AG768" s="6"/>
      <c r="AH768" s="6"/>
      <c r="AI768" s="6"/>
      <c r="AJ768" s="6"/>
      <c r="AK768" s="6"/>
      <c r="AL768" s="6"/>
      <c r="AM768" s="6"/>
      <c r="AN768" s="6"/>
      <c r="AO768" s="6"/>
    </row>
    <row r="769" spans="1:41" ht="14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15"/>
      <c r="AC769" s="15"/>
      <c r="AD769" s="15"/>
      <c r="AE769" s="15"/>
      <c r="AF769" s="6"/>
      <c r="AG769" s="6"/>
      <c r="AH769" s="6"/>
      <c r="AI769" s="6"/>
      <c r="AJ769" s="6"/>
      <c r="AK769" s="6"/>
      <c r="AL769" s="6"/>
      <c r="AM769" s="6"/>
      <c r="AN769" s="6"/>
      <c r="AO769" s="6"/>
    </row>
    <row r="770" spans="1:41" ht="14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15"/>
      <c r="AC770" s="15"/>
      <c r="AD770" s="15"/>
      <c r="AE770" s="15"/>
      <c r="AF770" s="6"/>
      <c r="AG770" s="6"/>
      <c r="AH770" s="6"/>
      <c r="AI770" s="6"/>
      <c r="AJ770" s="6"/>
      <c r="AK770" s="6"/>
      <c r="AL770" s="6"/>
      <c r="AM770" s="6"/>
      <c r="AN770" s="6"/>
      <c r="AO770" s="6"/>
    </row>
    <row r="771" spans="1:41" ht="14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15"/>
      <c r="AC771" s="15"/>
      <c r="AD771" s="15"/>
      <c r="AE771" s="15"/>
      <c r="AF771" s="6"/>
      <c r="AG771" s="6"/>
      <c r="AH771" s="6"/>
      <c r="AI771" s="6"/>
      <c r="AJ771" s="6"/>
      <c r="AK771" s="6"/>
      <c r="AL771" s="6"/>
      <c r="AM771" s="6"/>
      <c r="AN771" s="6"/>
      <c r="AO771" s="6"/>
    </row>
    <row r="772" spans="1:41" ht="14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15"/>
      <c r="AC772" s="15"/>
      <c r="AD772" s="15"/>
      <c r="AE772" s="15"/>
      <c r="AF772" s="6"/>
      <c r="AG772" s="6"/>
      <c r="AH772" s="6"/>
      <c r="AI772" s="6"/>
      <c r="AJ772" s="6"/>
      <c r="AK772" s="6"/>
      <c r="AL772" s="6"/>
      <c r="AM772" s="6"/>
      <c r="AN772" s="6"/>
      <c r="AO772" s="6"/>
    </row>
    <row r="773" spans="1:41" ht="14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15"/>
      <c r="AC773" s="15"/>
      <c r="AD773" s="15"/>
      <c r="AE773" s="15"/>
      <c r="AF773" s="6"/>
      <c r="AG773" s="6"/>
      <c r="AH773" s="6"/>
      <c r="AI773" s="6"/>
      <c r="AJ773" s="6"/>
      <c r="AK773" s="6"/>
      <c r="AL773" s="6"/>
      <c r="AM773" s="6"/>
      <c r="AN773" s="6"/>
      <c r="AO773" s="6"/>
    </row>
    <row r="774" spans="1:41" ht="14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15"/>
      <c r="AC774" s="15"/>
      <c r="AD774" s="15"/>
      <c r="AE774" s="15"/>
      <c r="AF774" s="6"/>
      <c r="AG774" s="6"/>
      <c r="AH774" s="6"/>
      <c r="AI774" s="6"/>
      <c r="AJ774" s="6"/>
      <c r="AK774" s="6"/>
      <c r="AL774" s="6"/>
      <c r="AM774" s="6"/>
      <c r="AN774" s="6"/>
      <c r="AO774" s="6"/>
    </row>
    <row r="775" spans="1:41" ht="14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15"/>
      <c r="AC775" s="15"/>
      <c r="AD775" s="15"/>
      <c r="AE775" s="15"/>
      <c r="AF775" s="6"/>
      <c r="AG775" s="6"/>
      <c r="AH775" s="6"/>
      <c r="AI775" s="6"/>
      <c r="AJ775" s="6"/>
      <c r="AK775" s="6"/>
      <c r="AL775" s="6"/>
      <c r="AM775" s="6"/>
      <c r="AN775" s="6"/>
      <c r="AO775" s="6"/>
    </row>
    <row r="776" spans="1:41" ht="14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15"/>
      <c r="AC776" s="15"/>
      <c r="AD776" s="15"/>
      <c r="AE776" s="15"/>
      <c r="AF776" s="6"/>
      <c r="AG776" s="6"/>
      <c r="AH776" s="6"/>
      <c r="AI776" s="6"/>
      <c r="AJ776" s="6"/>
      <c r="AK776" s="6"/>
      <c r="AL776" s="6"/>
      <c r="AM776" s="6"/>
      <c r="AN776" s="6"/>
      <c r="AO776" s="6"/>
    </row>
    <row r="777" spans="1:41" ht="14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15"/>
      <c r="AC777" s="15"/>
      <c r="AD777" s="15"/>
      <c r="AE777" s="15"/>
      <c r="AF777" s="6"/>
      <c r="AG777" s="6"/>
      <c r="AH777" s="6"/>
      <c r="AI777" s="6"/>
      <c r="AJ777" s="6"/>
      <c r="AK777" s="6"/>
      <c r="AL777" s="6"/>
      <c r="AM777" s="6"/>
      <c r="AN777" s="6"/>
      <c r="AO777" s="6"/>
    </row>
    <row r="778" spans="1:41" ht="14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15"/>
      <c r="AC778" s="15"/>
      <c r="AD778" s="15"/>
      <c r="AE778" s="15"/>
      <c r="AF778" s="6"/>
      <c r="AG778" s="6"/>
      <c r="AH778" s="6"/>
      <c r="AI778" s="6"/>
      <c r="AJ778" s="6"/>
      <c r="AK778" s="6"/>
      <c r="AL778" s="6"/>
      <c r="AM778" s="6"/>
      <c r="AN778" s="6"/>
      <c r="AO778" s="6"/>
    </row>
    <row r="779" spans="1:41" ht="14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15"/>
      <c r="AC779" s="15"/>
      <c r="AD779" s="15"/>
      <c r="AE779" s="15"/>
      <c r="AF779" s="6"/>
      <c r="AG779" s="6"/>
      <c r="AH779" s="6"/>
      <c r="AI779" s="6"/>
      <c r="AJ779" s="6"/>
      <c r="AK779" s="6"/>
      <c r="AL779" s="6"/>
      <c r="AM779" s="6"/>
      <c r="AN779" s="6"/>
      <c r="AO779" s="6"/>
    </row>
    <row r="780" spans="1:41" ht="14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15"/>
      <c r="AC780" s="15"/>
      <c r="AD780" s="15"/>
      <c r="AE780" s="15"/>
      <c r="AF780" s="6"/>
      <c r="AG780" s="6"/>
      <c r="AH780" s="6"/>
      <c r="AI780" s="6"/>
      <c r="AJ780" s="6"/>
      <c r="AK780" s="6"/>
      <c r="AL780" s="6"/>
      <c r="AM780" s="6"/>
      <c r="AN780" s="6"/>
      <c r="AO780" s="6"/>
    </row>
    <row r="781" spans="1:41" ht="14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15"/>
      <c r="AC781" s="15"/>
      <c r="AD781" s="15"/>
      <c r="AE781" s="15"/>
      <c r="AF781" s="6"/>
      <c r="AG781" s="6"/>
      <c r="AH781" s="6"/>
      <c r="AI781" s="6"/>
      <c r="AJ781" s="6"/>
      <c r="AK781" s="6"/>
      <c r="AL781" s="6"/>
      <c r="AM781" s="6"/>
      <c r="AN781" s="6"/>
      <c r="AO781" s="6"/>
    </row>
    <row r="782" spans="1:41" ht="14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15"/>
      <c r="AC782" s="15"/>
      <c r="AD782" s="15"/>
      <c r="AE782" s="15"/>
      <c r="AF782" s="6"/>
      <c r="AG782" s="6"/>
      <c r="AH782" s="6"/>
      <c r="AI782" s="6"/>
      <c r="AJ782" s="6"/>
      <c r="AK782" s="6"/>
      <c r="AL782" s="6"/>
      <c r="AM782" s="6"/>
      <c r="AN782" s="6"/>
      <c r="AO782" s="6"/>
    </row>
    <row r="783" spans="1:41" ht="14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15"/>
      <c r="AC783" s="15"/>
      <c r="AD783" s="15"/>
      <c r="AE783" s="15"/>
      <c r="AF783" s="6"/>
      <c r="AG783" s="6"/>
      <c r="AH783" s="6"/>
      <c r="AI783" s="6"/>
      <c r="AJ783" s="6"/>
      <c r="AK783" s="6"/>
      <c r="AL783" s="6"/>
      <c r="AM783" s="6"/>
      <c r="AN783" s="6"/>
      <c r="AO783" s="6"/>
    </row>
    <row r="784" spans="1:41" ht="14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15"/>
      <c r="AC784" s="15"/>
      <c r="AD784" s="15"/>
      <c r="AE784" s="15"/>
      <c r="AF784" s="6"/>
      <c r="AG784" s="6"/>
      <c r="AH784" s="6"/>
      <c r="AI784" s="6"/>
      <c r="AJ784" s="6"/>
      <c r="AK784" s="6"/>
      <c r="AL784" s="6"/>
      <c r="AM784" s="6"/>
      <c r="AN784" s="6"/>
      <c r="AO784" s="6"/>
    </row>
    <row r="785" spans="1:41" ht="14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15"/>
      <c r="AC785" s="15"/>
      <c r="AD785" s="15"/>
      <c r="AE785" s="15"/>
      <c r="AF785" s="6"/>
      <c r="AG785" s="6"/>
      <c r="AH785" s="6"/>
      <c r="AI785" s="6"/>
      <c r="AJ785" s="6"/>
      <c r="AK785" s="6"/>
      <c r="AL785" s="6"/>
      <c r="AM785" s="6"/>
      <c r="AN785" s="6"/>
      <c r="AO785" s="6"/>
    </row>
    <row r="786" spans="1:41" ht="14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15"/>
      <c r="AC786" s="15"/>
      <c r="AD786" s="15"/>
      <c r="AE786" s="15"/>
      <c r="AF786" s="6"/>
      <c r="AG786" s="6"/>
      <c r="AH786" s="6"/>
      <c r="AI786" s="6"/>
      <c r="AJ786" s="6"/>
      <c r="AK786" s="6"/>
      <c r="AL786" s="6"/>
      <c r="AM786" s="6"/>
      <c r="AN786" s="6"/>
      <c r="AO786" s="6"/>
    </row>
    <row r="787" spans="1:41" ht="14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15"/>
      <c r="AC787" s="15"/>
      <c r="AD787" s="15"/>
      <c r="AE787" s="15"/>
      <c r="AF787" s="6"/>
      <c r="AG787" s="6"/>
      <c r="AH787" s="6"/>
      <c r="AI787" s="6"/>
      <c r="AJ787" s="6"/>
      <c r="AK787" s="6"/>
      <c r="AL787" s="6"/>
      <c r="AM787" s="6"/>
      <c r="AN787" s="6"/>
      <c r="AO787" s="6"/>
    </row>
    <row r="788" spans="1:41" ht="14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15"/>
      <c r="AC788" s="15"/>
      <c r="AD788" s="15"/>
      <c r="AE788" s="15"/>
      <c r="AF788" s="6"/>
      <c r="AG788" s="6"/>
      <c r="AH788" s="6"/>
      <c r="AI788" s="6"/>
      <c r="AJ788" s="6"/>
      <c r="AK788" s="6"/>
      <c r="AL788" s="6"/>
      <c r="AM788" s="6"/>
      <c r="AN788" s="6"/>
      <c r="AO788" s="6"/>
    </row>
    <row r="789" spans="1:41" ht="14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15"/>
      <c r="AC789" s="15"/>
      <c r="AD789" s="15"/>
      <c r="AE789" s="15"/>
      <c r="AF789" s="6"/>
      <c r="AG789" s="6"/>
      <c r="AH789" s="6"/>
      <c r="AI789" s="6"/>
      <c r="AJ789" s="6"/>
      <c r="AK789" s="6"/>
      <c r="AL789" s="6"/>
      <c r="AM789" s="6"/>
      <c r="AN789" s="6"/>
      <c r="AO789" s="6"/>
    </row>
    <row r="790" spans="1:41" ht="14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15"/>
      <c r="AC790" s="15"/>
      <c r="AD790" s="15"/>
      <c r="AE790" s="15"/>
      <c r="AF790" s="6"/>
      <c r="AG790" s="6"/>
      <c r="AH790" s="6"/>
      <c r="AI790" s="6"/>
      <c r="AJ790" s="6"/>
      <c r="AK790" s="6"/>
      <c r="AL790" s="6"/>
      <c r="AM790" s="6"/>
      <c r="AN790" s="6"/>
      <c r="AO790" s="6"/>
    </row>
    <row r="791" spans="1:41" ht="14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15"/>
      <c r="AC791" s="15"/>
      <c r="AD791" s="15"/>
      <c r="AE791" s="15"/>
      <c r="AF791" s="6"/>
      <c r="AG791" s="6"/>
      <c r="AH791" s="6"/>
      <c r="AI791" s="6"/>
      <c r="AJ791" s="6"/>
      <c r="AK791" s="6"/>
      <c r="AL791" s="6"/>
      <c r="AM791" s="6"/>
      <c r="AN791" s="6"/>
      <c r="AO791" s="6"/>
    </row>
    <row r="792" spans="1:41" ht="14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15"/>
      <c r="AC792" s="15"/>
      <c r="AD792" s="15"/>
      <c r="AE792" s="15"/>
      <c r="AF792" s="6"/>
      <c r="AG792" s="6"/>
      <c r="AH792" s="6"/>
      <c r="AI792" s="6"/>
      <c r="AJ792" s="6"/>
      <c r="AK792" s="6"/>
      <c r="AL792" s="6"/>
      <c r="AM792" s="6"/>
      <c r="AN792" s="6"/>
      <c r="AO792" s="6"/>
    </row>
    <row r="793" spans="1:41" ht="14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15"/>
      <c r="AC793" s="15"/>
      <c r="AD793" s="15"/>
      <c r="AE793" s="15"/>
      <c r="AF793" s="6"/>
      <c r="AG793" s="6"/>
      <c r="AH793" s="6"/>
      <c r="AI793" s="6"/>
      <c r="AJ793" s="6"/>
      <c r="AK793" s="6"/>
      <c r="AL793" s="6"/>
      <c r="AM793" s="6"/>
      <c r="AN793" s="6"/>
      <c r="AO793" s="6"/>
    </row>
    <row r="794" spans="1:41" ht="14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15"/>
      <c r="AC794" s="15"/>
      <c r="AD794" s="15"/>
      <c r="AE794" s="15"/>
      <c r="AF794" s="6"/>
      <c r="AG794" s="6"/>
      <c r="AH794" s="6"/>
      <c r="AI794" s="6"/>
      <c r="AJ794" s="6"/>
      <c r="AK794" s="6"/>
      <c r="AL794" s="6"/>
      <c r="AM794" s="6"/>
      <c r="AN794" s="6"/>
      <c r="AO794" s="6"/>
    </row>
    <row r="795" spans="1:41" ht="14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15"/>
      <c r="AC795" s="15"/>
      <c r="AD795" s="15"/>
      <c r="AE795" s="15"/>
      <c r="AF795" s="6"/>
      <c r="AG795" s="6"/>
      <c r="AH795" s="6"/>
      <c r="AI795" s="6"/>
      <c r="AJ795" s="6"/>
      <c r="AK795" s="6"/>
      <c r="AL795" s="6"/>
      <c r="AM795" s="6"/>
      <c r="AN795" s="6"/>
      <c r="AO795" s="6"/>
    </row>
    <row r="796" spans="1:41" ht="14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15"/>
      <c r="AC796" s="15"/>
      <c r="AD796" s="15"/>
      <c r="AE796" s="15"/>
      <c r="AF796" s="6"/>
      <c r="AG796" s="6"/>
      <c r="AH796" s="6"/>
      <c r="AI796" s="6"/>
      <c r="AJ796" s="6"/>
      <c r="AK796" s="6"/>
      <c r="AL796" s="6"/>
      <c r="AM796" s="6"/>
      <c r="AN796" s="6"/>
      <c r="AO796" s="6"/>
    </row>
    <row r="797" spans="1:41" ht="14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15"/>
      <c r="AC797" s="15"/>
      <c r="AD797" s="15"/>
      <c r="AE797" s="15"/>
      <c r="AF797" s="6"/>
      <c r="AG797" s="6"/>
      <c r="AH797" s="6"/>
      <c r="AI797" s="6"/>
      <c r="AJ797" s="6"/>
      <c r="AK797" s="6"/>
      <c r="AL797" s="6"/>
      <c r="AM797" s="6"/>
      <c r="AN797" s="6"/>
      <c r="AO797" s="6"/>
    </row>
    <row r="798" spans="1:41" ht="14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15"/>
      <c r="AC798" s="15"/>
      <c r="AD798" s="15"/>
      <c r="AE798" s="15"/>
      <c r="AF798" s="6"/>
      <c r="AG798" s="6"/>
      <c r="AH798" s="6"/>
      <c r="AI798" s="6"/>
      <c r="AJ798" s="6"/>
      <c r="AK798" s="6"/>
      <c r="AL798" s="6"/>
      <c r="AM798" s="6"/>
      <c r="AN798" s="6"/>
      <c r="AO798" s="6"/>
    </row>
    <row r="799" spans="1:41" ht="14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15"/>
      <c r="AC799" s="15"/>
      <c r="AD799" s="15"/>
      <c r="AE799" s="15"/>
      <c r="AF799" s="6"/>
      <c r="AG799" s="6"/>
      <c r="AH799" s="6"/>
      <c r="AI799" s="6"/>
      <c r="AJ799" s="6"/>
      <c r="AK799" s="6"/>
      <c r="AL799" s="6"/>
      <c r="AM799" s="6"/>
      <c r="AN799" s="6"/>
      <c r="AO799" s="6"/>
    </row>
    <row r="800" spans="1:41" ht="14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15"/>
      <c r="AC800" s="15"/>
      <c r="AD800" s="15"/>
      <c r="AE800" s="15"/>
      <c r="AF800" s="6"/>
      <c r="AG800" s="6"/>
      <c r="AH800" s="6"/>
      <c r="AI800" s="6"/>
      <c r="AJ800" s="6"/>
      <c r="AK800" s="6"/>
      <c r="AL800" s="6"/>
      <c r="AM800" s="6"/>
      <c r="AN800" s="6"/>
      <c r="AO800" s="6"/>
    </row>
    <row r="801" spans="1:41" ht="14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15"/>
      <c r="AC801" s="15"/>
      <c r="AD801" s="15"/>
      <c r="AE801" s="15"/>
      <c r="AF801" s="6"/>
      <c r="AG801" s="6"/>
      <c r="AH801" s="6"/>
      <c r="AI801" s="6"/>
      <c r="AJ801" s="6"/>
      <c r="AK801" s="6"/>
      <c r="AL801" s="6"/>
      <c r="AM801" s="6"/>
      <c r="AN801" s="6"/>
      <c r="AO801" s="6"/>
    </row>
    <row r="802" spans="1:41" ht="14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15"/>
      <c r="AC802" s="15"/>
      <c r="AD802" s="15"/>
      <c r="AE802" s="15"/>
      <c r="AF802" s="6"/>
      <c r="AG802" s="6"/>
      <c r="AH802" s="6"/>
      <c r="AI802" s="6"/>
      <c r="AJ802" s="6"/>
      <c r="AK802" s="6"/>
      <c r="AL802" s="6"/>
      <c r="AM802" s="6"/>
      <c r="AN802" s="6"/>
      <c r="AO802" s="6"/>
    </row>
    <row r="803" spans="1:41" ht="14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15"/>
      <c r="AC803" s="15"/>
      <c r="AD803" s="15"/>
      <c r="AE803" s="15"/>
      <c r="AF803" s="6"/>
      <c r="AG803" s="6"/>
      <c r="AH803" s="6"/>
      <c r="AI803" s="6"/>
      <c r="AJ803" s="6"/>
      <c r="AK803" s="6"/>
      <c r="AL803" s="6"/>
      <c r="AM803" s="6"/>
      <c r="AN803" s="6"/>
      <c r="AO803" s="6"/>
    </row>
    <row r="804" spans="1:41" ht="14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15"/>
      <c r="AC804" s="15"/>
      <c r="AD804" s="15"/>
      <c r="AE804" s="15"/>
      <c r="AF804" s="6"/>
      <c r="AG804" s="6"/>
      <c r="AH804" s="6"/>
      <c r="AI804" s="6"/>
      <c r="AJ804" s="6"/>
      <c r="AK804" s="6"/>
      <c r="AL804" s="6"/>
      <c r="AM804" s="6"/>
      <c r="AN804" s="6"/>
      <c r="AO804" s="6"/>
    </row>
    <row r="805" spans="1:41" ht="14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15"/>
      <c r="AC805" s="15"/>
      <c r="AD805" s="15"/>
      <c r="AE805" s="15"/>
      <c r="AF805" s="6"/>
      <c r="AG805" s="6"/>
      <c r="AH805" s="6"/>
      <c r="AI805" s="6"/>
      <c r="AJ805" s="6"/>
      <c r="AK805" s="6"/>
      <c r="AL805" s="6"/>
      <c r="AM805" s="6"/>
      <c r="AN805" s="6"/>
      <c r="AO805" s="6"/>
    </row>
    <row r="806" spans="1:41" ht="14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15"/>
      <c r="AC806" s="15"/>
      <c r="AD806" s="15"/>
      <c r="AE806" s="15"/>
      <c r="AF806" s="6"/>
      <c r="AG806" s="6"/>
      <c r="AH806" s="6"/>
      <c r="AI806" s="6"/>
      <c r="AJ806" s="6"/>
      <c r="AK806" s="6"/>
      <c r="AL806" s="6"/>
      <c r="AM806" s="6"/>
      <c r="AN806" s="6"/>
      <c r="AO806" s="6"/>
    </row>
    <row r="807" spans="1:41" ht="14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15"/>
      <c r="AC807" s="15"/>
      <c r="AD807" s="15"/>
      <c r="AE807" s="15"/>
      <c r="AF807" s="6"/>
      <c r="AG807" s="6"/>
      <c r="AH807" s="6"/>
      <c r="AI807" s="6"/>
      <c r="AJ807" s="6"/>
      <c r="AK807" s="6"/>
      <c r="AL807" s="6"/>
      <c r="AM807" s="6"/>
      <c r="AN807" s="6"/>
      <c r="AO807" s="6"/>
    </row>
    <row r="808" spans="1:41" ht="14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15"/>
      <c r="AC808" s="15"/>
      <c r="AD808" s="15"/>
      <c r="AE808" s="15"/>
      <c r="AF808" s="6"/>
      <c r="AG808" s="6"/>
      <c r="AH808" s="6"/>
      <c r="AI808" s="6"/>
      <c r="AJ808" s="6"/>
      <c r="AK808" s="6"/>
      <c r="AL808" s="6"/>
      <c r="AM808" s="6"/>
      <c r="AN808" s="6"/>
      <c r="AO808" s="6"/>
    </row>
    <row r="809" spans="1:41" ht="14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15"/>
      <c r="AC809" s="15"/>
      <c r="AD809" s="15"/>
      <c r="AE809" s="15"/>
      <c r="AF809" s="6"/>
      <c r="AG809" s="6"/>
      <c r="AH809" s="6"/>
      <c r="AI809" s="6"/>
      <c r="AJ809" s="6"/>
      <c r="AK809" s="6"/>
      <c r="AL809" s="6"/>
      <c r="AM809" s="6"/>
      <c r="AN809" s="6"/>
      <c r="AO809" s="6"/>
    </row>
    <row r="810" spans="1:41" ht="14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15"/>
      <c r="AC810" s="15"/>
      <c r="AD810" s="15"/>
      <c r="AE810" s="15"/>
      <c r="AF810" s="6"/>
      <c r="AG810" s="6"/>
      <c r="AH810" s="6"/>
      <c r="AI810" s="6"/>
      <c r="AJ810" s="6"/>
      <c r="AK810" s="6"/>
      <c r="AL810" s="6"/>
      <c r="AM810" s="6"/>
      <c r="AN810" s="6"/>
      <c r="AO810" s="6"/>
    </row>
    <row r="811" spans="1:41" ht="14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15"/>
      <c r="AC811" s="15"/>
      <c r="AD811" s="15"/>
      <c r="AE811" s="15"/>
      <c r="AF811" s="6"/>
      <c r="AG811" s="6"/>
      <c r="AH811" s="6"/>
      <c r="AI811" s="6"/>
      <c r="AJ811" s="6"/>
      <c r="AK811" s="6"/>
      <c r="AL811" s="6"/>
      <c r="AM811" s="6"/>
      <c r="AN811" s="6"/>
      <c r="AO811" s="6"/>
    </row>
    <row r="812" spans="1:41" ht="14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15"/>
      <c r="AC812" s="15"/>
      <c r="AD812" s="15"/>
      <c r="AE812" s="15"/>
      <c r="AF812" s="6"/>
      <c r="AG812" s="6"/>
      <c r="AH812" s="6"/>
      <c r="AI812" s="6"/>
      <c r="AJ812" s="6"/>
      <c r="AK812" s="6"/>
      <c r="AL812" s="6"/>
      <c r="AM812" s="6"/>
      <c r="AN812" s="6"/>
      <c r="AO812" s="6"/>
    </row>
    <row r="813" spans="1:41" ht="14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15"/>
      <c r="AC813" s="15"/>
      <c r="AD813" s="15"/>
      <c r="AE813" s="15"/>
      <c r="AF813" s="6"/>
      <c r="AG813" s="6"/>
      <c r="AH813" s="6"/>
      <c r="AI813" s="6"/>
      <c r="AJ813" s="6"/>
      <c r="AK813" s="6"/>
      <c r="AL813" s="6"/>
      <c r="AM813" s="6"/>
      <c r="AN813" s="6"/>
      <c r="AO813" s="6"/>
    </row>
    <row r="814" spans="1:41" ht="14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15"/>
      <c r="AC814" s="15"/>
      <c r="AD814" s="15"/>
      <c r="AE814" s="15"/>
      <c r="AF814" s="6"/>
      <c r="AG814" s="6"/>
      <c r="AH814" s="6"/>
      <c r="AI814" s="6"/>
      <c r="AJ814" s="6"/>
      <c r="AK814" s="6"/>
      <c r="AL814" s="6"/>
      <c r="AM814" s="6"/>
      <c r="AN814" s="6"/>
      <c r="AO814" s="6"/>
    </row>
    <row r="815" spans="1:41" ht="14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15"/>
      <c r="AC815" s="15"/>
      <c r="AD815" s="15"/>
      <c r="AE815" s="15"/>
      <c r="AF815" s="6"/>
      <c r="AG815" s="6"/>
      <c r="AH815" s="6"/>
      <c r="AI815" s="6"/>
      <c r="AJ815" s="6"/>
      <c r="AK815" s="6"/>
      <c r="AL815" s="6"/>
      <c r="AM815" s="6"/>
      <c r="AN815" s="6"/>
      <c r="AO815" s="6"/>
    </row>
    <row r="816" spans="1:41" ht="14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15"/>
      <c r="AC816" s="15"/>
      <c r="AD816" s="15"/>
      <c r="AE816" s="15"/>
      <c r="AF816" s="6"/>
      <c r="AG816" s="6"/>
      <c r="AH816" s="6"/>
      <c r="AI816" s="6"/>
      <c r="AJ816" s="6"/>
      <c r="AK816" s="6"/>
      <c r="AL816" s="6"/>
      <c r="AM816" s="6"/>
      <c r="AN816" s="6"/>
      <c r="AO816" s="6"/>
    </row>
    <row r="817" spans="1:41" ht="14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15"/>
      <c r="AC817" s="15"/>
      <c r="AD817" s="15"/>
      <c r="AE817" s="15"/>
      <c r="AF817" s="6"/>
      <c r="AG817" s="6"/>
      <c r="AH817" s="6"/>
      <c r="AI817" s="6"/>
      <c r="AJ817" s="6"/>
      <c r="AK817" s="6"/>
      <c r="AL817" s="6"/>
      <c r="AM817" s="6"/>
      <c r="AN817" s="6"/>
      <c r="AO817" s="6"/>
    </row>
    <row r="818" spans="1:41" ht="14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15"/>
      <c r="AC818" s="15"/>
      <c r="AD818" s="15"/>
      <c r="AE818" s="15"/>
      <c r="AF818" s="6"/>
      <c r="AG818" s="6"/>
      <c r="AH818" s="6"/>
      <c r="AI818" s="6"/>
      <c r="AJ818" s="6"/>
      <c r="AK818" s="6"/>
      <c r="AL818" s="6"/>
      <c r="AM818" s="6"/>
      <c r="AN818" s="6"/>
      <c r="AO818" s="6"/>
    </row>
    <row r="819" spans="1:41" ht="14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15"/>
      <c r="AC819" s="15"/>
      <c r="AD819" s="15"/>
      <c r="AE819" s="15"/>
      <c r="AF819" s="6"/>
      <c r="AG819" s="6"/>
      <c r="AH819" s="6"/>
      <c r="AI819" s="6"/>
      <c r="AJ819" s="6"/>
      <c r="AK819" s="6"/>
      <c r="AL819" s="6"/>
      <c r="AM819" s="6"/>
      <c r="AN819" s="6"/>
      <c r="AO819" s="6"/>
    </row>
    <row r="820" spans="1:41" ht="14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15"/>
      <c r="AC820" s="15"/>
      <c r="AD820" s="15"/>
      <c r="AE820" s="15"/>
      <c r="AF820" s="6"/>
      <c r="AG820" s="6"/>
      <c r="AH820" s="6"/>
      <c r="AI820" s="6"/>
      <c r="AJ820" s="6"/>
      <c r="AK820" s="6"/>
      <c r="AL820" s="6"/>
      <c r="AM820" s="6"/>
      <c r="AN820" s="6"/>
      <c r="AO820" s="6"/>
    </row>
    <row r="821" spans="1:41" ht="14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15"/>
      <c r="AC821" s="15"/>
      <c r="AD821" s="15"/>
      <c r="AE821" s="15"/>
      <c r="AF821" s="6"/>
      <c r="AG821" s="6"/>
      <c r="AH821" s="6"/>
      <c r="AI821" s="6"/>
      <c r="AJ821" s="6"/>
      <c r="AK821" s="6"/>
      <c r="AL821" s="6"/>
      <c r="AM821" s="6"/>
      <c r="AN821" s="6"/>
      <c r="AO821" s="6"/>
    </row>
    <row r="822" spans="1:41" ht="14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15"/>
      <c r="AC822" s="15"/>
      <c r="AD822" s="15"/>
      <c r="AE822" s="15"/>
      <c r="AF822" s="6"/>
      <c r="AG822" s="6"/>
      <c r="AH822" s="6"/>
      <c r="AI822" s="6"/>
      <c r="AJ822" s="6"/>
      <c r="AK822" s="6"/>
      <c r="AL822" s="6"/>
      <c r="AM822" s="6"/>
      <c r="AN822" s="6"/>
      <c r="AO822" s="6"/>
    </row>
    <row r="823" spans="1:41" ht="14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15"/>
      <c r="AC823" s="15"/>
      <c r="AD823" s="15"/>
      <c r="AE823" s="15"/>
      <c r="AF823" s="6"/>
      <c r="AG823" s="6"/>
      <c r="AH823" s="6"/>
      <c r="AI823" s="6"/>
      <c r="AJ823" s="6"/>
      <c r="AK823" s="6"/>
      <c r="AL823" s="6"/>
      <c r="AM823" s="6"/>
      <c r="AN823" s="6"/>
      <c r="AO823" s="6"/>
    </row>
    <row r="824" spans="1:41" ht="14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15"/>
      <c r="AC824" s="15"/>
      <c r="AD824" s="15"/>
      <c r="AE824" s="15"/>
      <c r="AF824" s="6"/>
      <c r="AG824" s="6"/>
      <c r="AH824" s="6"/>
      <c r="AI824" s="6"/>
      <c r="AJ824" s="6"/>
      <c r="AK824" s="6"/>
      <c r="AL824" s="6"/>
      <c r="AM824" s="6"/>
      <c r="AN824" s="6"/>
      <c r="AO824" s="6"/>
    </row>
    <row r="825" spans="1:41" ht="14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15"/>
      <c r="AC825" s="15"/>
      <c r="AD825" s="15"/>
      <c r="AE825" s="15"/>
      <c r="AF825" s="6"/>
      <c r="AG825" s="6"/>
      <c r="AH825" s="6"/>
      <c r="AI825" s="6"/>
      <c r="AJ825" s="6"/>
      <c r="AK825" s="6"/>
      <c r="AL825" s="6"/>
      <c r="AM825" s="6"/>
      <c r="AN825" s="6"/>
      <c r="AO825" s="6"/>
    </row>
    <row r="826" spans="1:41" ht="14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15"/>
      <c r="AC826" s="15"/>
      <c r="AD826" s="15"/>
      <c r="AE826" s="15"/>
      <c r="AF826" s="6"/>
      <c r="AG826" s="6"/>
      <c r="AH826" s="6"/>
      <c r="AI826" s="6"/>
      <c r="AJ826" s="6"/>
      <c r="AK826" s="6"/>
      <c r="AL826" s="6"/>
      <c r="AM826" s="6"/>
      <c r="AN826" s="6"/>
      <c r="AO826" s="6"/>
    </row>
    <row r="827" spans="1:41" ht="14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15"/>
      <c r="AC827" s="15"/>
      <c r="AD827" s="15"/>
      <c r="AE827" s="15"/>
      <c r="AF827" s="6"/>
      <c r="AG827" s="6"/>
      <c r="AH827" s="6"/>
      <c r="AI827" s="6"/>
      <c r="AJ827" s="6"/>
      <c r="AK827" s="6"/>
      <c r="AL827" s="6"/>
      <c r="AM827" s="6"/>
      <c r="AN827" s="6"/>
      <c r="AO827" s="6"/>
    </row>
    <row r="828" spans="1:41" ht="14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15"/>
      <c r="AC828" s="15"/>
      <c r="AD828" s="15"/>
      <c r="AE828" s="15"/>
      <c r="AF828" s="6"/>
      <c r="AG828" s="6"/>
      <c r="AH828" s="6"/>
      <c r="AI828" s="6"/>
      <c r="AJ828" s="6"/>
      <c r="AK828" s="6"/>
      <c r="AL828" s="6"/>
      <c r="AM828" s="6"/>
      <c r="AN828" s="6"/>
      <c r="AO828" s="6"/>
    </row>
    <row r="829" spans="1:41" ht="14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15"/>
      <c r="AC829" s="15"/>
      <c r="AD829" s="15"/>
      <c r="AE829" s="15"/>
      <c r="AF829" s="6"/>
      <c r="AG829" s="6"/>
      <c r="AH829" s="6"/>
      <c r="AI829" s="6"/>
      <c r="AJ829" s="6"/>
      <c r="AK829" s="6"/>
      <c r="AL829" s="6"/>
      <c r="AM829" s="6"/>
      <c r="AN829" s="6"/>
      <c r="AO829" s="6"/>
    </row>
    <row r="830" spans="1:41" ht="14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15"/>
      <c r="AC830" s="15"/>
      <c r="AD830" s="15"/>
      <c r="AE830" s="15"/>
      <c r="AF830" s="6"/>
      <c r="AG830" s="6"/>
      <c r="AH830" s="6"/>
      <c r="AI830" s="6"/>
      <c r="AJ830" s="6"/>
      <c r="AK830" s="6"/>
      <c r="AL830" s="6"/>
      <c r="AM830" s="6"/>
      <c r="AN830" s="6"/>
      <c r="AO830" s="6"/>
    </row>
    <row r="831" spans="1:41" ht="14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15"/>
      <c r="AC831" s="15"/>
      <c r="AD831" s="15"/>
      <c r="AE831" s="15"/>
      <c r="AF831" s="6"/>
      <c r="AG831" s="6"/>
      <c r="AH831" s="6"/>
      <c r="AI831" s="6"/>
      <c r="AJ831" s="6"/>
      <c r="AK831" s="6"/>
      <c r="AL831" s="6"/>
      <c r="AM831" s="6"/>
      <c r="AN831" s="6"/>
      <c r="AO831" s="6"/>
    </row>
    <row r="832" spans="1:41" ht="14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15"/>
      <c r="AC832" s="15"/>
      <c r="AD832" s="15"/>
      <c r="AE832" s="15"/>
      <c r="AF832" s="6"/>
      <c r="AG832" s="6"/>
      <c r="AH832" s="6"/>
      <c r="AI832" s="6"/>
      <c r="AJ832" s="6"/>
      <c r="AK832" s="6"/>
      <c r="AL832" s="6"/>
      <c r="AM832" s="6"/>
      <c r="AN832" s="6"/>
      <c r="AO832" s="6"/>
    </row>
    <row r="833" spans="1:41" ht="14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15"/>
      <c r="AC833" s="15"/>
      <c r="AD833" s="15"/>
      <c r="AE833" s="15"/>
      <c r="AF833" s="6"/>
      <c r="AG833" s="6"/>
      <c r="AH833" s="6"/>
      <c r="AI833" s="6"/>
      <c r="AJ833" s="6"/>
      <c r="AK833" s="6"/>
      <c r="AL833" s="6"/>
      <c r="AM833" s="6"/>
      <c r="AN833" s="6"/>
      <c r="AO833" s="6"/>
    </row>
    <row r="834" spans="1:41" ht="14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15"/>
      <c r="AC834" s="15"/>
      <c r="AD834" s="15"/>
      <c r="AE834" s="15"/>
      <c r="AF834" s="6"/>
      <c r="AG834" s="6"/>
      <c r="AH834" s="6"/>
      <c r="AI834" s="6"/>
      <c r="AJ834" s="6"/>
      <c r="AK834" s="6"/>
      <c r="AL834" s="6"/>
      <c r="AM834" s="6"/>
      <c r="AN834" s="6"/>
      <c r="AO834" s="6"/>
    </row>
    <row r="835" spans="1:41" ht="14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15"/>
      <c r="AC835" s="15"/>
      <c r="AD835" s="15"/>
      <c r="AE835" s="15"/>
      <c r="AF835" s="6"/>
      <c r="AG835" s="6"/>
      <c r="AH835" s="6"/>
      <c r="AI835" s="6"/>
      <c r="AJ835" s="6"/>
      <c r="AK835" s="6"/>
      <c r="AL835" s="6"/>
      <c r="AM835" s="6"/>
      <c r="AN835" s="6"/>
      <c r="AO835" s="6"/>
    </row>
    <row r="836" spans="1:41" ht="14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15"/>
      <c r="AC836" s="15"/>
      <c r="AD836" s="15"/>
      <c r="AE836" s="15"/>
      <c r="AF836" s="6"/>
      <c r="AG836" s="6"/>
      <c r="AH836" s="6"/>
      <c r="AI836" s="6"/>
      <c r="AJ836" s="6"/>
      <c r="AK836" s="6"/>
      <c r="AL836" s="6"/>
      <c r="AM836" s="6"/>
      <c r="AN836" s="6"/>
      <c r="AO836" s="6"/>
    </row>
    <row r="837" spans="1:41" ht="14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15"/>
      <c r="AC837" s="15"/>
      <c r="AD837" s="15"/>
      <c r="AE837" s="15"/>
      <c r="AF837" s="6"/>
      <c r="AG837" s="6"/>
      <c r="AH837" s="6"/>
      <c r="AI837" s="6"/>
      <c r="AJ837" s="6"/>
      <c r="AK837" s="6"/>
      <c r="AL837" s="6"/>
      <c r="AM837" s="6"/>
      <c r="AN837" s="6"/>
      <c r="AO837" s="6"/>
    </row>
    <row r="838" spans="1:41" ht="14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15"/>
      <c r="AC838" s="15"/>
      <c r="AD838" s="15"/>
      <c r="AE838" s="15"/>
      <c r="AF838" s="6"/>
      <c r="AG838" s="6"/>
      <c r="AH838" s="6"/>
      <c r="AI838" s="6"/>
      <c r="AJ838" s="6"/>
      <c r="AK838" s="6"/>
      <c r="AL838" s="6"/>
      <c r="AM838" s="6"/>
      <c r="AN838" s="6"/>
      <c r="AO838" s="6"/>
    </row>
    <row r="839" spans="1:41" ht="14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15"/>
      <c r="AC839" s="15"/>
      <c r="AD839" s="15"/>
      <c r="AE839" s="15"/>
      <c r="AF839" s="6"/>
      <c r="AG839" s="6"/>
      <c r="AH839" s="6"/>
      <c r="AI839" s="6"/>
      <c r="AJ839" s="6"/>
      <c r="AK839" s="6"/>
      <c r="AL839" s="6"/>
      <c r="AM839" s="6"/>
      <c r="AN839" s="6"/>
      <c r="AO839" s="6"/>
    </row>
    <row r="840" spans="1:41" ht="14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15"/>
      <c r="AC840" s="15"/>
      <c r="AD840" s="15"/>
      <c r="AE840" s="15"/>
      <c r="AF840" s="6"/>
      <c r="AG840" s="6"/>
      <c r="AH840" s="6"/>
      <c r="AI840" s="6"/>
      <c r="AJ840" s="6"/>
      <c r="AK840" s="6"/>
      <c r="AL840" s="6"/>
      <c r="AM840" s="6"/>
      <c r="AN840" s="6"/>
      <c r="AO840" s="6"/>
    </row>
    <row r="841" spans="1:41" ht="14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15"/>
      <c r="AC841" s="15"/>
      <c r="AD841" s="15"/>
      <c r="AE841" s="15"/>
      <c r="AF841" s="6"/>
      <c r="AG841" s="6"/>
      <c r="AH841" s="6"/>
      <c r="AI841" s="6"/>
      <c r="AJ841" s="6"/>
      <c r="AK841" s="6"/>
      <c r="AL841" s="6"/>
      <c r="AM841" s="6"/>
      <c r="AN841" s="6"/>
      <c r="AO841" s="6"/>
    </row>
    <row r="842" spans="1:41" ht="14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15"/>
      <c r="AC842" s="15"/>
      <c r="AD842" s="15"/>
      <c r="AE842" s="15"/>
      <c r="AF842" s="6"/>
      <c r="AG842" s="6"/>
      <c r="AH842" s="6"/>
      <c r="AI842" s="6"/>
      <c r="AJ842" s="6"/>
      <c r="AK842" s="6"/>
      <c r="AL842" s="6"/>
      <c r="AM842" s="6"/>
      <c r="AN842" s="6"/>
      <c r="AO842" s="6"/>
    </row>
    <row r="843" spans="1:41" ht="14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15"/>
      <c r="AC843" s="15"/>
      <c r="AD843" s="15"/>
      <c r="AE843" s="15"/>
      <c r="AF843" s="6"/>
      <c r="AG843" s="6"/>
      <c r="AH843" s="6"/>
      <c r="AI843" s="6"/>
      <c r="AJ843" s="6"/>
      <c r="AK843" s="6"/>
      <c r="AL843" s="6"/>
      <c r="AM843" s="6"/>
      <c r="AN843" s="6"/>
      <c r="AO843" s="6"/>
    </row>
    <row r="844" spans="1:41" ht="14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15"/>
      <c r="AC844" s="15"/>
      <c r="AD844" s="15"/>
      <c r="AE844" s="15"/>
      <c r="AF844" s="6"/>
      <c r="AG844" s="6"/>
      <c r="AH844" s="6"/>
      <c r="AI844" s="6"/>
      <c r="AJ844" s="6"/>
      <c r="AK844" s="6"/>
      <c r="AL844" s="6"/>
      <c r="AM844" s="6"/>
      <c r="AN844" s="6"/>
      <c r="AO844" s="6"/>
    </row>
    <row r="845" spans="1:41" ht="14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15"/>
      <c r="AC845" s="15"/>
      <c r="AD845" s="15"/>
      <c r="AE845" s="15"/>
      <c r="AF845" s="6"/>
      <c r="AG845" s="6"/>
      <c r="AH845" s="6"/>
      <c r="AI845" s="6"/>
      <c r="AJ845" s="6"/>
      <c r="AK845" s="6"/>
      <c r="AL845" s="6"/>
      <c r="AM845" s="6"/>
      <c r="AN845" s="6"/>
      <c r="AO845" s="6"/>
    </row>
    <row r="846" spans="1:41" ht="14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15"/>
      <c r="AC846" s="15"/>
      <c r="AD846" s="15"/>
      <c r="AE846" s="15"/>
      <c r="AF846" s="6"/>
      <c r="AG846" s="6"/>
      <c r="AH846" s="6"/>
      <c r="AI846" s="6"/>
      <c r="AJ846" s="6"/>
      <c r="AK846" s="6"/>
      <c r="AL846" s="6"/>
      <c r="AM846" s="6"/>
      <c r="AN846" s="6"/>
      <c r="AO846" s="6"/>
    </row>
    <row r="847" spans="1:41" ht="14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15"/>
      <c r="AC847" s="15"/>
      <c r="AD847" s="15"/>
      <c r="AE847" s="15"/>
      <c r="AF847" s="6"/>
      <c r="AG847" s="6"/>
      <c r="AH847" s="6"/>
      <c r="AI847" s="6"/>
      <c r="AJ847" s="6"/>
      <c r="AK847" s="6"/>
      <c r="AL847" s="6"/>
      <c r="AM847" s="6"/>
      <c r="AN847" s="6"/>
      <c r="AO847" s="6"/>
    </row>
    <row r="848" spans="1:41" ht="14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15"/>
      <c r="AC848" s="15"/>
      <c r="AD848" s="15"/>
      <c r="AE848" s="15"/>
      <c r="AF848" s="6"/>
      <c r="AG848" s="6"/>
      <c r="AH848" s="6"/>
      <c r="AI848" s="6"/>
      <c r="AJ848" s="6"/>
      <c r="AK848" s="6"/>
      <c r="AL848" s="6"/>
      <c r="AM848" s="6"/>
      <c r="AN848" s="6"/>
      <c r="AO848" s="6"/>
    </row>
    <row r="849" spans="1:41" ht="14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15"/>
      <c r="AC849" s="15"/>
      <c r="AD849" s="15"/>
      <c r="AE849" s="15"/>
      <c r="AF849" s="6"/>
      <c r="AG849" s="6"/>
      <c r="AH849" s="6"/>
      <c r="AI849" s="6"/>
      <c r="AJ849" s="6"/>
      <c r="AK849" s="6"/>
      <c r="AL849" s="6"/>
      <c r="AM849" s="6"/>
      <c r="AN849" s="6"/>
      <c r="AO849" s="6"/>
    </row>
    <row r="850" spans="1:41" ht="14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15"/>
      <c r="AC850" s="15"/>
      <c r="AD850" s="15"/>
      <c r="AE850" s="15"/>
      <c r="AF850" s="6"/>
      <c r="AG850" s="6"/>
      <c r="AH850" s="6"/>
      <c r="AI850" s="6"/>
      <c r="AJ850" s="6"/>
      <c r="AK850" s="6"/>
      <c r="AL850" s="6"/>
      <c r="AM850" s="6"/>
      <c r="AN850" s="6"/>
      <c r="AO850" s="6"/>
    </row>
    <row r="851" spans="1:41" ht="14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15"/>
      <c r="AC851" s="15"/>
      <c r="AD851" s="15"/>
      <c r="AE851" s="15"/>
      <c r="AF851" s="6"/>
      <c r="AG851" s="6"/>
      <c r="AH851" s="6"/>
      <c r="AI851" s="6"/>
      <c r="AJ851" s="6"/>
      <c r="AK851" s="6"/>
      <c r="AL851" s="6"/>
      <c r="AM851" s="6"/>
      <c r="AN851" s="6"/>
      <c r="AO851" s="6"/>
    </row>
    <row r="852" spans="1:41" ht="14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15"/>
      <c r="AC852" s="15"/>
      <c r="AD852" s="15"/>
      <c r="AE852" s="15"/>
      <c r="AF852" s="6"/>
      <c r="AG852" s="6"/>
      <c r="AH852" s="6"/>
      <c r="AI852" s="6"/>
      <c r="AJ852" s="6"/>
      <c r="AK852" s="6"/>
      <c r="AL852" s="6"/>
      <c r="AM852" s="6"/>
      <c r="AN852" s="6"/>
      <c r="AO852" s="6"/>
    </row>
    <row r="853" spans="1:41" ht="14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15"/>
      <c r="AC853" s="15"/>
      <c r="AD853" s="15"/>
      <c r="AE853" s="15"/>
      <c r="AF853" s="6"/>
      <c r="AG853" s="6"/>
      <c r="AH853" s="6"/>
      <c r="AI853" s="6"/>
      <c r="AJ853" s="6"/>
      <c r="AK853" s="6"/>
      <c r="AL853" s="6"/>
      <c r="AM853" s="6"/>
      <c r="AN853" s="6"/>
      <c r="AO853" s="6"/>
    </row>
    <row r="854" spans="1:41" ht="14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15"/>
      <c r="AC854" s="15"/>
      <c r="AD854" s="15"/>
      <c r="AE854" s="15"/>
      <c r="AF854" s="6"/>
      <c r="AG854" s="6"/>
      <c r="AH854" s="6"/>
      <c r="AI854" s="6"/>
      <c r="AJ854" s="6"/>
      <c r="AK854" s="6"/>
      <c r="AL854" s="6"/>
      <c r="AM854" s="6"/>
      <c r="AN854" s="6"/>
      <c r="AO854" s="6"/>
    </row>
    <row r="855" spans="1:41" ht="14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15"/>
      <c r="AC855" s="15"/>
      <c r="AD855" s="15"/>
      <c r="AE855" s="15"/>
      <c r="AF855" s="6"/>
      <c r="AG855" s="6"/>
      <c r="AH855" s="6"/>
      <c r="AI855" s="6"/>
      <c r="AJ855" s="6"/>
      <c r="AK855" s="6"/>
      <c r="AL855" s="6"/>
      <c r="AM855" s="6"/>
      <c r="AN855" s="6"/>
      <c r="AO855" s="6"/>
    </row>
    <row r="856" spans="1:41" ht="14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15"/>
      <c r="AC856" s="15"/>
      <c r="AD856" s="15"/>
      <c r="AE856" s="15"/>
      <c r="AF856" s="6"/>
      <c r="AG856" s="6"/>
      <c r="AH856" s="6"/>
      <c r="AI856" s="6"/>
      <c r="AJ856" s="6"/>
      <c r="AK856" s="6"/>
      <c r="AL856" s="6"/>
      <c r="AM856" s="6"/>
      <c r="AN856" s="6"/>
      <c r="AO856" s="6"/>
    </row>
    <row r="857" spans="1:41" ht="14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15"/>
      <c r="AC857" s="15"/>
      <c r="AD857" s="15"/>
      <c r="AE857" s="15"/>
      <c r="AF857" s="6"/>
      <c r="AG857" s="6"/>
      <c r="AH857" s="6"/>
      <c r="AI857" s="6"/>
      <c r="AJ857" s="6"/>
      <c r="AK857" s="6"/>
      <c r="AL857" s="6"/>
      <c r="AM857" s="6"/>
      <c r="AN857" s="6"/>
      <c r="AO857" s="6"/>
    </row>
    <row r="858" spans="1:41" ht="14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15"/>
      <c r="AC858" s="15"/>
      <c r="AD858" s="15"/>
      <c r="AE858" s="15"/>
      <c r="AF858" s="6"/>
      <c r="AG858" s="6"/>
      <c r="AH858" s="6"/>
      <c r="AI858" s="6"/>
      <c r="AJ858" s="6"/>
      <c r="AK858" s="6"/>
      <c r="AL858" s="6"/>
      <c r="AM858" s="6"/>
      <c r="AN858" s="6"/>
      <c r="AO858" s="6"/>
    </row>
    <row r="859" spans="1:41" ht="14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15"/>
      <c r="AC859" s="15"/>
      <c r="AD859" s="15"/>
      <c r="AE859" s="15"/>
      <c r="AF859" s="6"/>
      <c r="AG859" s="6"/>
      <c r="AH859" s="6"/>
      <c r="AI859" s="6"/>
      <c r="AJ859" s="6"/>
      <c r="AK859" s="6"/>
      <c r="AL859" s="6"/>
      <c r="AM859" s="6"/>
      <c r="AN859" s="6"/>
      <c r="AO859" s="6"/>
    </row>
    <row r="860" spans="1:41" ht="14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15"/>
      <c r="AC860" s="15"/>
      <c r="AD860" s="15"/>
      <c r="AE860" s="15"/>
      <c r="AF860" s="6"/>
      <c r="AG860" s="6"/>
      <c r="AH860" s="6"/>
      <c r="AI860" s="6"/>
      <c r="AJ860" s="6"/>
      <c r="AK860" s="6"/>
      <c r="AL860" s="6"/>
      <c r="AM860" s="6"/>
      <c r="AN860" s="6"/>
      <c r="AO860" s="6"/>
    </row>
    <row r="861" spans="1:41" ht="14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15"/>
      <c r="AC861" s="15"/>
      <c r="AD861" s="15"/>
      <c r="AE861" s="15"/>
      <c r="AF861" s="6"/>
      <c r="AG861" s="6"/>
      <c r="AH861" s="6"/>
      <c r="AI861" s="6"/>
      <c r="AJ861" s="6"/>
      <c r="AK861" s="6"/>
      <c r="AL861" s="6"/>
      <c r="AM861" s="6"/>
      <c r="AN861" s="6"/>
      <c r="AO861" s="6"/>
    </row>
    <row r="862" spans="1:41" ht="14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15"/>
      <c r="AC862" s="15"/>
      <c r="AD862" s="15"/>
      <c r="AE862" s="15"/>
      <c r="AF862" s="6"/>
      <c r="AG862" s="6"/>
      <c r="AH862" s="6"/>
      <c r="AI862" s="6"/>
      <c r="AJ862" s="6"/>
      <c r="AK862" s="6"/>
      <c r="AL862" s="6"/>
      <c r="AM862" s="6"/>
      <c r="AN862" s="6"/>
      <c r="AO862" s="6"/>
    </row>
    <row r="863" spans="1:41" ht="14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15"/>
      <c r="AC863" s="15"/>
      <c r="AD863" s="15"/>
      <c r="AE863" s="15"/>
      <c r="AF863" s="6"/>
      <c r="AG863" s="6"/>
      <c r="AH863" s="6"/>
      <c r="AI863" s="6"/>
      <c r="AJ863" s="6"/>
      <c r="AK863" s="6"/>
      <c r="AL863" s="6"/>
      <c r="AM863" s="6"/>
      <c r="AN863" s="6"/>
      <c r="AO863" s="6"/>
    </row>
    <row r="864" spans="1:41" ht="14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15"/>
      <c r="AC864" s="15"/>
      <c r="AD864" s="15"/>
      <c r="AE864" s="15"/>
      <c r="AF864" s="6"/>
      <c r="AG864" s="6"/>
      <c r="AH864" s="6"/>
      <c r="AI864" s="6"/>
      <c r="AJ864" s="6"/>
      <c r="AK864" s="6"/>
      <c r="AL864" s="6"/>
      <c r="AM864" s="6"/>
      <c r="AN864" s="6"/>
      <c r="AO864" s="6"/>
    </row>
    <row r="865" spans="1:41" ht="14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15"/>
      <c r="AC865" s="15"/>
      <c r="AD865" s="15"/>
      <c r="AE865" s="15"/>
      <c r="AF865" s="6"/>
      <c r="AG865" s="6"/>
      <c r="AH865" s="6"/>
      <c r="AI865" s="6"/>
      <c r="AJ865" s="6"/>
      <c r="AK865" s="6"/>
      <c r="AL865" s="6"/>
      <c r="AM865" s="6"/>
      <c r="AN865" s="6"/>
      <c r="AO865" s="6"/>
    </row>
    <row r="866" spans="1:41" ht="14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15"/>
      <c r="AC866" s="15"/>
      <c r="AD866" s="15"/>
      <c r="AE866" s="15"/>
      <c r="AF866" s="6"/>
      <c r="AG866" s="6"/>
      <c r="AH866" s="6"/>
      <c r="AI866" s="6"/>
      <c r="AJ866" s="6"/>
      <c r="AK866" s="6"/>
      <c r="AL866" s="6"/>
      <c r="AM866" s="6"/>
      <c r="AN866" s="6"/>
      <c r="AO866" s="6"/>
    </row>
    <row r="867" spans="1:41" ht="14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15"/>
      <c r="AC867" s="15"/>
      <c r="AD867" s="15"/>
      <c r="AE867" s="15"/>
      <c r="AF867" s="6"/>
      <c r="AG867" s="6"/>
      <c r="AH867" s="6"/>
      <c r="AI867" s="6"/>
      <c r="AJ867" s="6"/>
      <c r="AK867" s="6"/>
      <c r="AL867" s="6"/>
      <c r="AM867" s="6"/>
      <c r="AN867" s="6"/>
      <c r="AO867" s="6"/>
    </row>
    <row r="868" spans="1:41" ht="14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15"/>
      <c r="AC868" s="15"/>
      <c r="AD868" s="15"/>
      <c r="AE868" s="15"/>
      <c r="AF868" s="6"/>
      <c r="AG868" s="6"/>
      <c r="AH868" s="6"/>
      <c r="AI868" s="6"/>
      <c r="AJ868" s="6"/>
      <c r="AK868" s="6"/>
      <c r="AL868" s="6"/>
      <c r="AM868" s="6"/>
      <c r="AN868" s="6"/>
      <c r="AO868" s="6"/>
    </row>
    <row r="869" spans="1:41" ht="14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15"/>
      <c r="AC869" s="15"/>
      <c r="AD869" s="15"/>
      <c r="AE869" s="15"/>
      <c r="AF869" s="6"/>
      <c r="AG869" s="6"/>
      <c r="AH869" s="6"/>
      <c r="AI869" s="6"/>
      <c r="AJ869" s="6"/>
      <c r="AK869" s="6"/>
      <c r="AL869" s="6"/>
      <c r="AM869" s="6"/>
      <c r="AN869" s="6"/>
      <c r="AO869" s="6"/>
    </row>
    <row r="870" spans="1:41" ht="14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15"/>
      <c r="AC870" s="15"/>
      <c r="AD870" s="15"/>
      <c r="AE870" s="15"/>
      <c r="AF870" s="6"/>
      <c r="AG870" s="6"/>
      <c r="AH870" s="6"/>
      <c r="AI870" s="6"/>
      <c r="AJ870" s="6"/>
      <c r="AK870" s="6"/>
      <c r="AL870" s="6"/>
      <c r="AM870" s="6"/>
      <c r="AN870" s="6"/>
      <c r="AO870" s="6"/>
    </row>
    <row r="871" spans="1:41" ht="14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15"/>
      <c r="AC871" s="15"/>
      <c r="AD871" s="15"/>
      <c r="AE871" s="15"/>
      <c r="AF871" s="6"/>
      <c r="AG871" s="6"/>
      <c r="AH871" s="6"/>
      <c r="AI871" s="6"/>
      <c r="AJ871" s="6"/>
      <c r="AK871" s="6"/>
      <c r="AL871" s="6"/>
      <c r="AM871" s="6"/>
      <c r="AN871" s="6"/>
      <c r="AO871" s="6"/>
    </row>
    <row r="872" spans="1:41" ht="14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15"/>
      <c r="AC872" s="15"/>
      <c r="AD872" s="15"/>
      <c r="AE872" s="15"/>
      <c r="AF872" s="6"/>
      <c r="AG872" s="6"/>
      <c r="AH872" s="6"/>
      <c r="AI872" s="6"/>
      <c r="AJ872" s="6"/>
      <c r="AK872" s="6"/>
      <c r="AL872" s="6"/>
      <c r="AM872" s="6"/>
      <c r="AN872" s="6"/>
      <c r="AO872" s="6"/>
    </row>
    <row r="873" spans="1:41" ht="14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15"/>
      <c r="AC873" s="15"/>
      <c r="AD873" s="15"/>
      <c r="AE873" s="15"/>
      <c r="AF873" s="6"/>
      <c r="AG873" s="6"/>
      <c r="AH873" s="6"/>
      <c r="AI873" s="6"/>
      <c r="AJ873" s="6"/>
      <c r="AK873" s="6"/>
      <c r="AL873" s="6"/>
      <c r="AM873" s="6"/>
      <c r="AN873" s="6"/>
      <c r="AO873" s="6"/>
    </row>
    <row r="874" spans="1:41" ht="14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15"/>
      <c r="AC874" s="15"/>
      <c r="AD874" s="15"/>
      <c r="AE874" s="15"/>
      <c r="AF874" s="6"/>
      <c r="AG874" s="6"/>
      <c r="AH874" s="6"/>
      <c r="AI874" s="6"/>
      <c r="AJ874" s="6"/>
      <c r="AK874" s="6"/>
      <c r="AL874" s="6"/>
      <c r="AM874" s="6"/>
      <c r="AN874" s="6"/>
      <c r="AO874" s="6"/>
    </row>
    <row r="875" spans="1:41" ht="14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15"/>
      <c r="AC875" s="15"/>
      <c r="AD875" s="15"/>
      <c r="AE875" s="15"/>
      <c r="AF875" s="6"/>
      <c r="AG875" s="6"/>
      <c r="AH875" s="6"/>
      <c r="AI875" s="6"/>
      <c r="AJ875" s="6"/>
      <c r="AK875" s="6"/>
      <c r="AL875" s="6"/>
      <c r="AM875" s="6"/>
      <c r="AN875" s="6"/>
      <c r="AO875" s="6"/>
    </row>
    <row r="876" spans="1:41" ht="14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15"/>
      <c r="AC876" s="15"/>
      <c r="AD876" s="15"/>
      <c r="AE876" s="15"/>
      <c r="AF876" s="6"/>
      <c r="AG876" s="6"/>
      <c r="AH876" s="6"/>
      <c r="AI876" s="6"/>
      <c r="AJ876" s="6"/>
      <c r="AK876" s="6"/>
      <c r="AL876" s="6"/>
      <c r="AM876" s="6"/>
      <c r="AN876" s="6"/>
      <c r="AO876" s="6"/>
    </row>
    <row r="877" spans="1:41" ht="14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15"/>
      <c r="AC877" s="15"/>
      <c r="AD877" s="15"/>
      <c r="AE877" s="15"/>
      <c r="AF877" s="6"/>
      <c r="AG877" s="6"/>
      <c r="AH877" s="6"/>
      <c r="AI877" s="6"/>
      <c r="AJ877" s="6"/>
      <c r="AK877" s="6"/>
      <c r="AL877" s="6"/>
      <c r="AM877" s="6"/>
      <c r="AN877" s="6"/>
      <c r="AO877" s="6"/>
    </row>
    <row r="878" spans="1:41" ht="14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15"/>
      <c r="AC878" s="15"/>
      <c r="AD878" s="15"/>
      <c r="AE878" s="15"/>
      <c r="AF878" s="6"/>
      <c r="AG878" s="6"/>
      <c r="AH878" s="6"/>
      <c r="AI878" s="6"/>
      <c r="AJ878" s="6"/>
      <c r="AK878" s="6"/>
      <c r="AL878" s="6"/>
      <c r="AM878" s="6"/>
      <c r="AN878" s="6"/>
      <c r="AO878" s="6"/>
    </row>
    <row r="879" spans="1:41" ht="14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15"/>
      <c r="AC879" s="15"/>
      <c r="AD879" s="15"/>
      <c r="AE879" s="15"/>
      <c r="AF879" s="6"/>
      <c r="AG879" s="6"/>
      <c r="AH879" s="6"/>
      <c r="AI879" s="6"/>
      <c r="AJ879" s="6"/>
      <c r="AK879" s="6"/>
      <c r="AL879" s="6"/>
      <c r="AM879" s="6"/>
      <c r="AN879" s="6"/>
      <c r="AO879" s="6"/>
    </row>
    <row r="880" spans="1:41" ht="14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15"/>
      <c r="AC880" s="15"/>
      <c r="AD880" s="15"/>
      <c r="AE880" s="15"/>
      <c r="AF880" s="6"/>
      <c r="AG880" s="6"/>
      <c r="AH880" s="6"/>
      <c r="AI880" s="6"/>
      <c r="AJ880" s="6"/>
      <c r="AK880" s="6"/>
      <c r="AL880" s="6"/>
      <c r="AM880" s="6"/>
      <c r="AN880" s="6"/>
      <c r="AO880" s="6"/>
    </row>
    <row r="881" spans="1:41" ht="14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15"/>
      <c r="AC881" s="15"/>
      <c r="AD881" s="15"/>
      <c r="AE881" s="15"/>
      <c r="AF881" s="6"/>
      <c r="AG881" s="6"/>
      <c r="AH881" s="6"/>
      <c r="AI881" s="6"/>
      <c r="AJ881" s="6"/>
      <c r="AK881" s="6"/>
      <c r="AL881" s="6"/>
      <c r="AM881" s="6"/>
      <c r="AN881" s="6"/>
      <c r="AO881" s="6"/>
    </row>
    <row r="882" spans="1:41" ht="14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15"/>
      <c r="AC882" s="15"/>
      <c r="AD882" s="15"/>
      <c r="AE882" s="15"/>
      <c r="AF882" s="6"/>
      <c r="AG882" s="6"/>
      <c r="AH882" s="6"/>
      <c r="AI882" s="6"/>
      <c r="AJ882" s="6"/>
      <c r="AK882" s="6"/>
      <c r="AL882" s="6"/>
      <c r="AM882" s="6"/>
      <c r="AN882" s="6"/>
      <c r="AO882" s="6"/>
    </row>
    <row r="883" spans="1:41" ht="14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15"/>
      <c r="AC883" s="15"/>
      <c r="AD883" s="15"/>
      <c r="AE883" s="15"/>
      <c r="AF883" s="6"/>
      <c r="AG883" s="6"/>
      <c r="AH883" s="6"/>
      <c r="AI883" s="6"/>
      <c r="AJ883" s="6"/>
      <c r="AK883" s="6"/>
      <c r="AL883" s="6"/>
      <c r="AM883" s="6"/>
      <c r="AN883" s="6"/>
      <c r="AO883" s="6"/>
    </row>
    <row r="884" spans="1:41" ht="14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15"/>
      <c r="AC884" s="15"/>
      <c r="AD884" s="15"/>
      <c r="AE884" s="15"/>
      <c r="AF884" s="6"/>
      <c r="AG884" s="6"/>
      <c r="AH884" s="6"/>
      <c r="AI884" s="6"/>
      <c r="AJ884" s="6"/>
      <c r="AK884" s="6"/>
      <c r="AL884" s="6"/>
      <c r="AM884" s="6"/>
      <c r="AN884" s="6"/>
      <c r="AO884" s="6"/>
    </row>
    <row r="885" spans="1:41" ht="14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15"/>
      <c r="AC885" s="15"/>
      <c r="AD885" s="15"/>
      <c r="AE885" s="15"/>
      <c r="AF885" s="6"/>
      <c r="AG885" s="6"/>
      <c r="AH885" s="6"/>
      <c r="AI885" s="6"/>
      <c r="AJ885" s="6"/>
      <c r="AK885" s="6"/>
      <c r="AL885" s="6"/>
      <c r="AM885" s="6"/>
      <c r="AN885" s="6"/>
      <c r="AO885" s="6"/>
    </row>
    <row r="886" spans="1:41" ht="14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15"/>
      <c r="AC886" s="15"/>
      <c r="AD886" s="15"/>
      <c r="AE886" s="15"/>
      <c r="AF886" s="6"/>
      <c r="AG886" s="6"/>
      <c r="AH886" s="6"/>
      <c r="AI886" s="6"/>
      <c r="AJ886" s="6"/>
      <c r="AK886" s="6"/>
      <c r="AL886" s="6"/>
      <c r="AM886" s="6"/>
      <c r="AN886" s="6"/>
      <c r="AO886" s="6"/>
    </row>
    <row r="887" spans="1:41" ht="14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15"/>
      <c r="AC887" s="15"/>
      <c r="AD887" s="15"/>
      <c r="AE887" s="15"/>
      <c r="AF887" s="6"/>
      <c r="AG887" s="6"/>
      <c r="AH887" s="6"/>
      <c r="AI887" s="6"/>
      <c r="AJ887" s="6"/>
      <c r="AK887" s="6"/>
      <c r="AL887" s="6"/>
      <c r="AM887" s="6"/>
      <c r="AN887" s="6"/>
      <c r="AO887" s="6"/>
    </row>
    <row r="888" spans="1:41" ht="14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15"/>
      <c r="AC888" s="15"/>
      <c r="AD888" s="15"/>
      <c r="AE888" s="15"/>
      <c r="AF888" s="6"/>
      <c r="AG888" s="6"/>
      <c r="AH888" s="6"/>
      <c r="AI888" s="6"/>
      <c r="AJ888" s="6"/>
      <c r="AK888" s="6"/>
      <c r="AL888" s="6"/>
      <c r="AM888" s="6"/>
      <c r="AN888" s="6"/>
      <c r="AO888" s="6"/>
    </row>
    <row r="889" spans="1:41" ht="14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15"/>
      <c r="AC889" s="15"/>
      <c r="AD889" s="15"/>
      <c r="AE889" s="15"/>
      <c r="AF889" s="6"/>
      <c r="AG889" s="6"/>
      <c r="AH889" s="6"/>
      <c r="AI889" s="6"/>
      <c r="AJ889" s="6"/>
      <c r="AK889" s="6"/>
      <c r="AL889" s="6"/>
      <c r="AM889" s="6"/>
      <c r="AN889" s="6"/>
      <c r="AO889" s="6"/>
    </row>
    <row r="890" spans="1:41" ht="14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15"/>
      <c r="AC890" s="15"/>
      <c r="AD890" s="15"/>
      <c r="AE890" s="15"/>
      <c r="AF890" s="6"/>
      <c r="AG890" s="6"/>
      <c r="AH890" s="6"/>
      <c r="AI890" s="6"/>
      <c r="AJ890" s="6"/>
      <c r="AK890" s="6"/>
      <c r="AL890" s="6"/>
      <c r="AM890" s="6"/>
      <c r="AN890" s="6"/>
      <c r="AO890" s="6"/>
    </row>
    <row r="891" spans="1:41" ht="14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15"/>
      <c r="AC891" s="15"/>
      <c r="AD891" s="15"/>
      <c r="AE891" s="15"/>
      <c r="AF891" s="6"/>
      <c r="AG891" s="6"/>
      <c r="AH891" s="6"/>
      <c r="AI891" s="6"/>
      <c r="AJ891" s="6"/>
      <c r="AK891" s="6"/>
      <c r="AL891" s="6"/>
      <c r="AM891" s="6"/>
      <c r="AN891" s="6"/>
      <c r="AO891" s="6"/>
    </row>
    <row r="892" spans="1:41" ht="14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15"/>
      <c r="AC892" s="15"/>
      <c r="AD892" s="15"/>
      <c r="AE892" s="15"/>
      <c r="AF892" s="6"/>
      <c r="AG892" s="6"/>
      <c r="AH892" s="6"/>
      <c r="AI892" s="6"/>
      <c r="AJ892" s="6"/>
      <c r="AK892" s="6"/>
      <c r="AL892" s="6"/>
      <c r="AM892" s="6"/>
      <c r="AN892" s="6"/>
      <c r="AO892" s="6"/>
    </row>
    <row r="893" spans="1:41" ht="14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15"/>
      <c r="AC893" s="15"/>
      <c r="AD893" s="15"/>
      <c r="AE893" s="15"/>
      <c r="AF893" s="6"/>
      <c r="AG893" s="6"/>
      <c r="AH893" s="6"/>
      <c r="AI893" s="6"/>
      <c r="AJ893" s="6"/>
      <c r="AK893" s="6"/>
      <c r="AL893" s="6"/>
      <c r="AM893" s="6"/>
      <c r="AN893" s="6"/>
      <c r="AO893" s="6"/>
    </row>
    <row r="894" spans="1:41" ht="14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15"/>
      <c r="AC894" s="15"/>
      <c r="AD894" s="15"/>
      <c r="AE894" s="15"/>
      <c r="AF894" s="6"/>
      <c r="AG894" s="6"/>
      <c r="AH894" s="6"/>
      <c r="AI894" s="6"/>
      <c r="AJ894" s="6"/>
      <c r="AK894" s="6"/>
      <c r="AL894" s="6"/>
      <c r="AM894" s="6"/>
      <c r="AN894" s="6"/>
      <c r="AO894" s="6"/>
    </row>
    <row r="895" spans="1:41" ht="14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15"/>
      <c r="AC895" s="15"/>
      <c r="AD895" s="15"/>
      <c r="AE895" s="15"/>
      <c r="AF895" s="6"/>
      <c r="AG895" s="6"/>
      <c r="AH895" s="6"/>
      <c r="AI895" s="6"/>
      <c r="AJ895" s="6"/>
      <c r="AK895" s="6"/>
      <c r="AL895" s="6"/>
      <c r="AM895" s="6"/>
      <c r="AN895" s="6"/>
      <c r="AO895" s="6"/>
    </row>
    <row r="896" spans="1:41" ht="14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15"/>
      <c r="AC896" s="15"/>
      <c r="AD896" s="15"/>
      <c r="AE896" s="15"/>
      <c r="AF896" s="6"/>
      <c r="AG896" s="6"/>
      <c r="AH896" s="6"/>
      <c r="AI896" s="6"/>
      <c r="AJ896" s="6"/>
      <c r="AK896" s="6"/>
      <c r="AL896" s="6"/>
      <c r="AM896" s="6"/>
      <c r="AN896" s="6"/>
      <c r="AO896" s="6"/>
    </row>
    <row r="897" spans="1:41" ht="14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15"/>
      <c r="AC897" s="15"/>
      <c r="AD897" s="15"/>
      <c r="AE897" s="15"/>
      <c r="AF897" s="6"/>
      <c r="AG897" s="6"/>
      <c r="AH897" s="6"/>
      <c r="AI897" s="6"/>
      <c r="AJ897" s="6"/>
      <c r="AK897" s="6"/>
      <c r="AL897" s="6"/>
      <c r="AM897" s="6"/>
      <c r="AN897" s="6"/>
      <c r="AO897" s="6"/>
    </row>
    <row r="898" spans="1:41" ht="14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15"/>
      <c r="AC898" s="15"/>
      <c r="AD898" s="15"/>
      <c r="AE898" s="15"/>
      <c r="AF898" s="6"/>
      <c r="AG898" s="6"/>
      <c r="AH898" s="6"/>
      <c r="AI898" s="6"/>
      <c r="AJ898" s="6"/>
      <c r="AK898" s="6"/>
      <c r="AL898" s="6"/>
      <c r="AM898" s="6"/>
      <c r="AN898" s="6"/>
      <c r="AO898" s="6"/>
    </row>
    <row r="899" spans="1:41" ht="14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15"/>
      <c r="AC899" s="15"/>
      <c r="AD899" s="15"/>
      <c r="AE899" s="15"/>
      <c r="AF899" s="6"/>
      <c r="AG899" s="6"/>
      <c r="AH899" s="6"/>
      <c r="AI899" s="6"/>
      <c r="AJ899" s="6"/>
      <c r="AK899" s="6"/>
      <c r="AL899" s="6"/>
      <c r="AM899" s="6"/>
      <c r="AN899" s="6"/>
      <c r="AO899" s="6"/>
    </row>
    <row r="900" spans="1:41" ht="14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15"/>
      <c r="AC900" s="15"/>
      <c r="AD900" s="15"/>
      <c r="AE900" s="15"/>
      <c r="AF900" s="6"/>
      <c r="AG900" s="6"/>
      <c r="AH900" s="6"/>
      <c r="AI900" s="6"/>
      <c r="AJ900" s="6"/>
      <c r="AK900" s="6"/>
      <c r="AL900" s="6"/>
      <c r="AM900" s="6"/>
      <c r="AN900" s="6"/>
      <c r="AO900" s="6"/>
    </row>
    <row r="901" spans="1:41" ht="14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15"/>
      <c r="AC901" s="15"/>
      <c r="AD901" s="15"/>
      <c r="AE901" s="15"/>
      <c r="AF901" s="6"/>
      <c r="AG901" s="6"/>
      <c r="AH901" s="6"/>
      <c r="AI901" s="6"/>
      <c r="AJ901" s="6"/>
      <c r="AK901" s="6"/>
      <c r="AL901" s="6"/>
      <c r="AM901" s="6"/>
      <c r="AN901" s="6"/>
      <c r="AO901" s="6"/>
    </row>
    <row r="902" spans="1:41" ht="14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15"/>
      <c r="AC902" s="15"/>
      <c r="AD902" s="15"/>
      <c r="AE902" s="15"/>
      <c r="AF902" s="6"/>
      <c r="AG902" s="6"/>
      <c r="AH902" s="6"/>
      <c r="AI902" s="6"/>
      <c r="AJ902" s="6"/>
      <c r="AK902" s="6"/>
      <c r="AL902" s="6"/>
      <c r="AM902" s="6"/>
      <c r="AN902" s="6"/>
      <c r="AO902" s="6"/>
    </row>
    <row r="903" spans="1:41" ht="14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15"/>
      <c r="AC903" s="15"/>
      <c r="AD903" s="15"/>
      <c r="AE903" s="15"/>
      <c r="AF903" s="6"/>
      <c r="AG903" s="6"/>
      <c r="AH903" s="6"/>
      <c r="AI903" s="6"/>
      <c r="AJ903" s="6"/>
      <c r="AK903" s="6"/>
      <c r="AL903" s="6"/>
      <c r="AM903" s="6"/>
      <c r="AN903" s="6"/>
      <c r="AO903" s="6"/>
    </row>
    <row r="904" spans="1:41" ht="14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15"/>
      <c r="AC904" s="15"/>
      <c r="AD904" s="15"/>
      <c r="AE904" s="15"/>
      <c r="AF904" s="6"/>
      <c r="AG904" s="6"/>
      <c r="AH904" s="6"/>
      <c r="AI904" s="6"/>
      <c r="AJ904" s="6"/>
      <c r="AK904" s="6"/>
      <c r="AL904" s="6"/>
      <c r="AM904" s="6"/>
      <c r="AN904" s="6"/>
      <c r="AO904" s="6"/>
    </row>
    <row r="905" spans="1:41" ht="14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15"/>
      <c r="AC905" s="15"/>
      <c r="AD905" s="15"/>
      <c r="AE905" s="15"/>
      <c r="AF905" s="6"/>
      <c r="AG905" s="6"/>
      <c r="AH905" s="6"/>
      <c r="AI905" s="6"/>
      <c r="AJ905" s="6"/>
      <c r="AK905" s="6"/>
      <c r="AL905" s="6"/>
      <c r="AM905" s="6"/>
      <c r="AN905" s="6"/>
      <c r="AO905" s="6"/>
    </row>
    <row r="906" spans="1:41" ht="14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15"/>
      <c r="AC906" s="15"/>
      <c r="AD906" s="15"/>
      <c r="AE906" s="15"/>
      <c r="AF906" s="6"/>
      <c r="AG906" s="6"/>
      <c r="AH906" s="6"/>
      <c r="AI906" s="6"/>
      <c r="AJ906" s="6"/>
      <c r="AK906" s="6"/>
      <c r="AL906" s="6"/>
      <c r="AM906" s="6"/>
      <c r="AN906" s="6"/>
      <c r="AO906" s="6"/>
    </row>
    <row r="907" spans="1:41" ht="14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15"/>
      <c r="AC907" s="15"/>
      <c r="AD907" s="15"/>
      <c r="AE907" s="15"/>
      <c r="AF907" s="6"/>
      <c r="AG907" s="6"/>
      <c r="AH907" s="6"/>
      <c r="AI907" s="6"/>
      <c r="AJ907" s="6"/>
      <c r="AK907" s="6"/>
      <c r="AL907" s="6"/>
      <c r="AM907" s="6"/>
      <c r="AN907" s="6"/>
      <c r="AO907" s="6"/>
    </row>
    <row r="908" spans="1:41" ht="14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15"/>
      <c r="AC908" s="15"/>
      <c r="AD908" s="15"/>
      <c r="AE908" s="15"/>
      <c r="AF908" s="6"/>
      <c r="AG908" s="6"/>
      <c r="AH908" s="6"/>
      <c r="AI908" s="6"/>
      <c r="AJ908" s="6"/>
      <c r="AK908" s="6"/>
      <c r="AL908" s="6"/>
      <c r="AM908" s="6"/>
      <c r="AN908" s="6"/>
      <c r="AO908" s="6"/>
    </row>
    <row r="909" spans="1:41" ht="14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15"/>
      <c r="AC909" s="15"/>
      <c r="AD909" s="15"/>
      <c r="AE909" s="15"/>
      <c r="AF909" s="6"/>
      <c r="AG909" s="6"/>
      <c r="AH909" s="6"/>
      <c r="AI909" s="6"/>
      <c r="AJ909" s="6"/>
      <c r="AK909" s="6"/>
      <c r="AL909" s="6"/>
      <c r="AM909" s="6"/>
      <c r="AN909" s="6"/>
      <c r="AO909" s="6"/>
    </row>
    <row r="910" spans="1:41" ht="14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15"/>
      <c r="AC910" s="15"/>
      <c r="AD910" s="15"/>
      <c r="AE910" s="15"/>
      <c r="AF910" s="6"/>
      <c r="AG910" s="6"/>
      <c r="AH910" s="6"/>
      <c r="AI910" s="6"/>
      <c r="AJ910" s="6"/>
      <c r="AK910" s="6"/>
      <c r="AL910" s="6"/>
      <c r="AM910" s="6"/>
      <c r="AN910" s="6"/>
      <c r="AO910" s="6"/>
    </row>
    <row r="911" spans="1:41" ht="14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15"/>
      <c r="AC911" s="15"/>
      <c r="AD911" s="15"/>
      <c r="AE911" s="15"/>
      <c r="AF911" s="6"/>
      <c r="AG911" s="6"/>
      <c r="AH911" s="6"/>
      <c r="AI911" s="6"/>
      <c r="AJ911" s="6"/>
      <c r="AK911" s="6"/>
      <c r="AL911" s="6"/>
      <c r="AM911" s="6"/>
      <c r="AN911" s="6"/>
      <c r="AO911" s="6"/>
    </row>
    <row r="912" spans="1:41" ht="14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15"/>
      <c r="AC912" s="15"/>
      <c r="AD912" s="15"/>
      <c r="AE912" s="15"/>
      <c r="AF912" s="6"/>
      <c r="AG912" s="6"/>
      <c r="AH912" s="6"/>
      <c r="AI912" s="6"/>
      <c r="AJ912" s="6"/>
      <c r="AK912" s="6"/>
      <c r="AL912" s="6"/>
      <c r="AM912" s="6"/>
      <c r="AN912" s="6"/>
      <c r="AO912" s="6"/>
    </row>
    <row r="913" spans="1:41" ht="14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15"/>
      <c r="AC913" s="15"/>
      <c r="AD913" s="15"/>
      <c r="AE913" s="15"/>
      <c r="AF913" s="6"/>
      <c r="AG913" s="6"/>
      <c r="AH913" s="6"/>
      <c r="AI913" s="6"/>
      <c r="AJ913" s="6"/>
      <c r="AK913" s="6"/>
      <c r="AL913" s="6"/>
      <c r="AM913" s="6"/>
      <c r="AN913" s="6"/>
      <c r="AO913" s="6"/>
    </row>
    <row r="914" spans="1:41" ht="14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15"/>
      <c r="AC914" s="15"/>
      <c r="AD914" s="15"/>
      <c r="AE914" s="15"/>
      <c r="AF914" s="6"/>
      <c r="AG914" s="6"/>
      <c r="AH914" s="6"/>
      <c r="AI914" s="6"/>
      <c r="AJ914" s="6"/>
      <c r="AK914" s="6"/>
      <c r="AL914" s="6"/>
      <c r="AM914" s="6"/>
      <c r="AN914" s="6"/>
      <c r="AO914" s="6"/>
    </row>
    <row r="915" spans="1:41" ht="14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15"/>
      <c r="AC915" s="15"/>
      <c r="AD915" s="15"/>
      <c r="AE915" s="15"/>
      <c r="AF915" s="6"/>
      <c r="AG915" s="6"/>
      <c r="AH915" s="6"/>
      <c r="AI915" s="6"/>
      <c r="AJ915" s="6"/>
      <c r="AK915" s="6"/>
      <c r="AL915" s="6"/>
      <c r="AM915" s="6"/>
      <c r="AN915" s="6"/>
      <c r="AO915" s="6"/>
    </row>
    <row r="916" spans="1:41" ht="14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15"/>
      <c r="AC916" s="15"/>
      <c r="AD916" s="15"/>
      <c r="AE916" s="15"/>
      <c r="AF916" s="6"/>
      <c r="AG916" s="6"/>
      <c r="AH916" s="6"/>
      <c r="AI916" s="6"/>
      <c r="AJ916" s="6"/>
      <c r="AK916" s="6"/>
      <c r="AL916" s="6"/>
      <c r="AM916" s="6"/>
      <c r="AN916" s="6"/>
      <c r="AO916" s="6"/>
    </row>
    <row r="917" spans="1:41" ht="14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15"/>
      <c r="AC917" s="15"/>
      <c r="AD917" s="15"/>
      <c r="AE917" s="15"/>
      <c r="AF917" s="6"/>
      <c r="AG917" s="6"/>
      <c r="AH917" s="6"/>
      <c r="AI917" s="6"/>
      <c r="AJ917" s="6"/>
      <c r="AK917" s="6"/>
      <c r="AL917" s="6"/>
      <c r="AM917" s="6"/>
      <c r="AN917" s="6"/>
      <c r="AO917" s="6"/>
    </row>
    <row r="918" spans="1:41" ht="14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15"/>
      <c r="AC918" s="15"/>
      <c r="AD918" s="15"/>
      <c r="AE918" s="15"/>
      <c r="AF918" s="6"/>
      <c r="AG918" s="6"/>
      <c r="AH918" s="6"/>
      <c r="AI918" s="6"/>
      <c r="AJ918" s="6"/>
      <c r="AK918" s="6"/>
      <c r="AL918" s="6"/>
      <c r="AM918" s="6"/>
      <c r="AN918" s="6"/>
      <c r="AO918" s="6"/>
    </row>
    <row r="919" spans="1:41" ht="14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15"/>
      <c r="AC919" s="15"/>
      <c r="AD919" s="15"/>
      <c r="AE919" s="15"/>
      <c r="AF919" s="6"/>
      <c r="AG919" s="6"/>
      <c r="AH919" s="6"/>
      <c r="AI919" s="6"/>
      <c r="AJ919" s="6"/>
      <c r="AK919" s="6"/>
      <c r="AL919" s="6"/>
      <c r="AM919" s="6"/>
      <c r="AN919" s="6"/>
      <c r="AO919" s="6"/>
    </row>
    <row r="920" spans="1:41" ht="14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15"/>
      <c r="AC920" s="15"/>
      <c r="AD920" s="15"/>
      <c r="AE920" s="15"/>
      <c r="AF920" s="6"/>
      <c r="AG920" s="6"/>
      <c r="AH920" s="6"/>
      <c r="AI920" s="6"/>
      <c r="AJ920" s="6"/>
      <c r="AK920" s="6"/>
      <c r="AL920" s="6"/>
      <c r="AM920" s="6"/>
      <c r="AN920" s="6"/>
      <c r="AO920" s="6"/>
    </row>
    <row r="921" spans="1:41" ht="14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15"/>
      <c r="AC921" s="15"/>
      <c r="AD921" s="15"/>
      <c r="AE921" s="15"/>
      <c r="AF921" s="6"/>
      <c r="AG921" s="6"/>
      <c r="AH921" s="6"/>
      <c r="AI921" s="6"/>
      <c r="AJ921" s="6"/>
      <c r="AK921" s="6"/>
      <c r="AL921" s="6"/>
      <c r="AM921" s="6"/>
      <c r="AN921" s="6"/>
      <c r="AO921" s="6"/>
    </row>
    <row r="922" spans="1:41" ht="14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15"/>
      <c r="AC922" s="15"/>
      <c r="AD922" s="15"/>
      <c r="AE922" s="15"/>
      <c r="AF922" s="6"/>
      <c r="AG922" s="6"/>
      <c r="AH922" s="6"/>
      <c r="AI922" s="6"/>
      <c r="AJ922" s="6"/>
      <c r="AK922" s="6"/>
      <c r="AL922" s="6"/>
      <c r="AM922" s="6"/>
      <c r="AN922" s="6"/>
      <c r="AO922" s="6"/>
    </row>
    <row r="923" spans="1:41" ht="14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15"/>
      <c r="AC923" s="15"/>
      <c r="AD923" s="15"/>
      <c r="AE923" s="15"/>
      <c r="AF923" s="6"/>
      <c r="AG923" s="6"/>
      <c r="AH923" s="6"/>
      <c r="AI923" s="6"/>
      <c r="AJ923" s="6"/>
      <c r="AK923" s="6"/>
      <c r="AL923" s="6"/>
      <c r="AM923" s="6"/>
      <c r="AN923" s="6"/>
      <c r="AO923" s="6"/>
    </row>
    <row r="924" spans="1:41" ht="14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15"/>
      <c r="AC924" s="15"/>
      <c r="AD924" s="15"/>
      <c r="AE924" s="15"/>
      <c r="AF924" s="6"/>
      <c r="AG924" s="6"/>
      <c r="AH924" s="6"/>
      <c r="AI924" s="6"/>
      <c r="AJ924" s="6"/>
      <c r="AK924" s="6"/>
      <c r="AL924" s="6"/>
      <c r="AM924" s="6"/>
      <c r="AN924" s="6"/>
      <c r="AO924" s="6"/>
    </row>
    <row r="925" spans="1:41" ht="14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15"/>
      <c r="AC925" s="15"/>
      <c r="AD925" s="15"/>
      <c r="AE925" s="15"/>
      <c r="AF925" s="6"/>
      <c r="AG925" s="6"/>
      <c r="AH925" s="6"/>
      <c r="AI925" s="6"/>
      <c r="AJ925" s="6"/>
      <c r="AK925" s="6"/>
      <c r="AL925" s="6"/>
      <c r="AM925" s="6"/>
      <c r="AN925" s="6"/>
      <c r="AO925" s="6"/>
    </row>
    <row r="926" spans="1:41" ht="14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15"/>
      <c r="AC926" s="15"/>
      <c r="AD926" s="15"/>
      <c r="AE926" s="15"/>
      <c r="AF926" s="6"/>
      <c r="AG926" s="6"/>
      <c r="AH926" s="6"/>
      <c r="AI926" s="6"/>
      <c r="AJ926" s="6"/>
      <c r="AK926" s="6"/>
      <c r="AL926" s="6"/>
      <c r="AM926" s="6"/>
      <c r="AN926" s="6"/>
      <c r="AO926" s="6"/>
    </row>
    <row r="927" spans="1:41" ht="14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15"/>
      <c r="AC927" s="15"/>
      <c r="AD927" s="15"/>
      <c r="AE927" s="15"/>
      <c r="AF927" s="6"/>
      <c r="AG927" s="6"/>
      <c r="AH927" s="6"/>
      <c r="AI927" s="6"/>
      <c r="AJ927" s="6"/>
      <c r="AK927" s="6"/>
      <c r="AL927" s="6"/>
      <c r="AM927" s="6"/>
      <c r="AN927" s="6"/>
      <c r="AO927" s="6"/>
    </row>
    <row r="928" spans="1:41" ht="14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15"/>
      <c r="AC928" s="15"/>
      <c r="AD928" s="15"/>
      <c r="AE928" s="15"/>
      <c r="AF928" s="6"/>
      <c r="AG928" s="6"/>
      <c r="AH928" s="6"/>
      <c r="AI928" s="6"/>
      <c r="AJ928" s="6"/>
      <c r="AK928" s="6"/>
      <c r="AL928" s="6"/>
      <c r="AM928" s="6"/>
      <c r="AN928" s="6"/>
      <c r="AO928" s="6"/>
    </row>
    <row r="929" spans="1:41" ht="14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15"/>
      <c r="AC929" s="15"/>
      <c r="AD929" s="15"/>
      <c r="AE929" s="15"/>
      <c r="AF929" s="6"/>
      <c r="AG929" s="6"/>
      <c r="AH929" s="6"/>
      <c r="AI929" s="6"/>
      <c r="AJ929" s="6"/>
      <c r="AK929" s="6"/>
      <c r="AL929" s="6"/>
      <c r="AM929" s="6"/>
      <c r="AN929" s="6"/>
      <c r="AO929" s="6"/>
    </row>
    <row r="930" spans="1:41" ht="14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15"/>
      <c r="AC930" s="15"/>
      <c r="AD930" s="15"/>
      <c r="AE930" s="15"/>
      <c r="AF930" s="6"/>
      <c r="AG930" s="6"/>
      <c r="AH930" s="6"/>
      <c r="AI930" s="6"/>
      <c r="AJ930" s="6"/>
      <c r="AK930" s="6"/>
      <c r="AL930" s="6"/>
      <c r="AM930" s="6"/>
      <c r="AN930" s="6"/>
      <c r="AO930" s="6"/>
    </row>
    <row r="931" spans="1:41" ht="14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15"/>
      <c r="AC931" s="15"/>
      <c r="AD931" s="15"/>
      <c r="AE931" s="15"/>
      <c r="AF931" s="6"/>
      <c r="AG931" s="6"/>
      <c r="AH931" s="6"/>
      <c r="AI931" s="6"/>
      <c r="AJ931" s="6"/>
      <c r="AK931" s="6"/>
      <c r="AL931" s="6"/>
      <c r="AM931" s="6"/>
      <c r="AN931" s="6"/>
      <c r="AO931" s="6"/>
    </row>
    <row r="932" spans="1:41" ht="14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15"/>
      <c r="AC932" s="15"/>
      <c r="AD932" s="15"/>
      <c r="AE932" s="15"/>
      <c r="AF932" s="6"/>
      <c r="AG932" s="6"/>
      <c r="AH932" s="6"/>
      <c r="AI932" s="6"/>
      <c r="AJ932" s="6"/>
      <c r="AK932" s="6"/>
      <c r="AL932" s="6"/>
      <c r="AM932" s="6"/>
      <c r="AN932" s="6"/>
      <c r="AO932" s="6"/>
    </row>
    <row r="933" spans="1:41" ht="14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15"/>
      <c r="AC933" s="15"/>
      <c r="AD933" s="15"/>
      <c r="AE933" s="15"/>
      <c r="AF933" s="6"/>
      <c r="AG933" s="6"/>
      <c r="AH933" s="6"/>
      <c r="AI933" s="6"/>
      <c r="AJ933" s="6"/>
      <c r="AK933" s="6"/>
      <c r="AL933" s="6"/>
      <c r="AM933" s="6"/>
      <c r="AN933" s="6"/>
      <c r="AO933" s="6"/>
    </row>
    <row r="934" spans="1:41" ht="14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15"/>
      <c r="AC934" s="15"/>
      <c r="AD934" s="15"/>
      <c r="AE934" s="15"/>
      <c r="AF934" s="6"/>
      <c r="AG934" s="6"/>
      <c r="AH934" s="6"/>
      <c r="AI934" s="6"/>
      <c r="AJ934" s="6"/>
      <c r="AK934" s="6"/>
      <c r="AL934" s="6"/>
      <c r="AM934" s="6"/>
      <c r="AN934" s="6"/>
      <c r="AO934" s="6"/>
    </row>
    <row r="935" spans="1:41" ht="14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15"/>
      <c r="AC935" s="15"/>
      <c r="AD935" s="15"/>
      <c r="AE935" s="15"/>
      <c r="AF935" s="6"/>
      <c r="AG935" s="6"/>
      <c r="AH935" s="6"/>
      <c r="AI935" s="6"/>
      <c r="AJ935" s="6"/>
      <c r="AK935" s="6"/>
      <c r="AL935" s="6"/>
      <c r="AM935" s="6"/>
      <c r="AN935" s="6"/>
      <c r="AO935" s="6"/>
    </row>
    <row r="936" spans="1:41" ht="14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15"/>
      <c r="AC936" s="15"/>
      <c r="AD936" s="15"/>
      <c r="AE936" s="15"/>
      <c r="AF936" s="6"/>
      <c r="AG936" s="6"/>
      <c r="AH936" s="6"/>
      <c r="AI936" s="6"/>
      <c r="AJ936" s="6"/>
      <c r="AK936" s="6"/>
      <c r="AL936" s="6"/>
      <c r="AM936" s="6"/>
      <c r="AN936" s="6"/>
      <c r="AO936" s="6"/>
    </row>
    <row r="937" spans="1:41" ht="14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15"/>
      <c r="AC937" s="15"/>
      <c r="AD937" s="15"/>
      <c r="AE937" s="15"/>
      <c r="AF937" s="6"/>
      <c r="AG937" s="6"/>
      <c r="AH937" s="6"/>
      <c r="AI937" s="6"/>
      <c r="AJ937" s="6"/>
      <c r="AK937" s="6"/>
      <c r="AL937" s="6"/>
      <c r="AM937" s="6"/>
      <c r="AN937" s="6"/>
      <c r="AO937" s="6"/>
    </row>
    <row r="938" spans="1:41" ht="14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15"/>
      <c r="AC938" s="15"/>
      <c r="AD938" s="15"/>
      <c r="AE938" s="15"/>
      <c r="AF938" s="6"/>
      <c r="AG938" s="6"/>
      <c r="AH938" s="6"/>
      <c r="AI938" s="6"/>
      <c r="AJ938" s="6"/>
      <c r="AK938" s="6"/>
      <c r="AL938" s="6"/>
      <c r="AM938" s="6"/>
      <c r="AN938" s="6"/>
      <c r="AO938" s="6"/>
    </row>
    <row r="939" spans="1:41" ht="14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15"/>
      <c r="AC939" s="15"/>
      <c r="AD939" s="15"/>
      <c r="AE939" s="15"/>
      <c r="AF939" s="6"/>
      <c r="AG939" s="6"/>
      <c r="AH939" s="6"/>
      <c r="AI939" s="6"/>
      <c r="AJ939" s="6"/>
      <c r="AK939" s="6"/>
      <c r="AL939" s="6"/>
      <c r="AM939" s="6"/>
      <c r="AN939" s="6"/>
      <c r="AO939" s="6"/>
    </row>
    <row r="940" spans="1:41" ht="14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15"/>
      <c r="AC940" s="15"/>
      <c r="AD940" s="15"/>
      <c r="AE940" s="15"/>
      <c r="AF940" s="6"/>
      <c r="AG940" s="6"/>
      <c r="AH940" s="6"/>
      <c r="AI940" s="6"/>
      <c r="AJ940" s="6"/>
      <c r="AK940" s="6"/>
      <c r="AL940" s="6"/>
      <c r="AM940" s="6"/>
      <c r="AN940" s="6"/>
      <c r="AO940" s="6"/>
    </row>
    <row r="941" spans="1:41" ht="14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15"/>
      <c r="AC941" s="15"/>
      <c r="AD941" s="15"/>
      <c r="AE941" s="15"/>
      <c r="AF941" s="6"/>
      <c r="AG941" s="6"/>
      <c r="AH941" s="6"/>
      <c r="AI941" s="6"/>
      <c r="AJ941" s="6"/>
      <c r="AK941" s="6"/>
      <c r="AL941" s="6"/>
      <c r="AM941" s="6"/>
      <c r="AN941" s="6"/>
      <c r="AO941" s="6"/>
    </row>
    <row r="942" spans="1:41" ht="14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15"/>
      <c r="AC942" s="15"/>
      <c r="AD942" s="15"/>
      <c r="AE942" s="15"/>
      <c r="AF942" s="6"/>
      <c r="AG942" s="6"/>
      <c r="AH942" s="6"/>
      <c r="AI942" s="6"/>
      <c r="AJ942" s="6"/>
      <c r="AK942" s="6"/>
      <c r="AL942" s="6"/>
      <c r="AM942" s="6"/>
      <c r="AN942" s="6"/>
      <c r="AO942" s="6"/>
    </row>
    <row r="943" spans="1:41" ht="14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15"/>
      <c r="AC943" s="15"/>
      <c r="AD943" s="15"/>
      <c r="AE943" s="15"/>
      <c r="AF943" s="6"/>
      <c r="AG943" s="6"/>
      <c r="AH943" s="6"/>
      <c r="AI943" s="6"/>
      <c r="AJ943" s="6"/>
      <c r="AK943" s="6"/>
      <c r="AL943" s="6"/>
      <c r="AM943" s="6"/>
      <c r="AN943" s="6"/>
      <c r="AO943" s="6"/>
    </row>
    <row r="944" spans="1:41" ht="14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15"/>
      <c r="AC944" s="15"/>
      <c r="AD944" s="15"/>
      <c r="AE944" s="15"/>
      <c r="AF944" s="6"/>
      <c r="AG944" s="6"/>
      <c r="AH944" s="6"/>
      <c r="AI944" s="6"/>
      <c r="AJ944" s="6"/>
      <c r="AK944" s="6"/>
      <c r="AL944" s="6"/>
      <c r="AM944" s="6"/>
      <c r="AN944" s="6"/>
      <c r="AO944" s="6"/>
    </row>
    <row r="945" spans="1:41" ht="14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15"/>
      <c r="AC945" s="15"/>
      <c r="AD945" s="15"/>
      <c r="AE945" s="15"/>
      <c r="AF945" s="6"/>
      <c r="AG945" s="6"/>
      <c r="AH945" s="6"/>
      <c r="AI945" s="6"/>
      <c r="AJ945" s="6"/>
      <c r="AK945" s="6"/>
      <c r="AL945" s="6"/>
      <c r="AM945" s="6"/>
      <c r="AN945" s="6"/>
      <c r="AO945" s="6"/>
    </row>
    <row r="946" spans="1:41" ht="14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15"/>
      <c r="AC946" s="15"/>
      <c r="AD946" s="15"/>
      <c r="AE946" s="15"/>
      <c r="AF946" s="6"/>
      <c r="AG946" s="6"/>
      <c r="AH946" s="6"/>
      <c r="AI946" s="6"/>
      <c r="AJ946" s="6"/>
      <c r="AK946" s="6"/>
      <c r="AL946" s="6"/>
      <c r="AM946" s="6"/>
      <c r="AN946" s="6"/>
      <c r="AO946" s="6"/>
    </row>
    <row r="947" spans="1:41" ht="14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15"/>
      <c r="AC947" s="15"/>
      <c r="AD947" s="15"/>
      <c r="AE947" s="15"/>
      <c r="AF947" s="6"/>
      <c r="AG947" s="6"/>
      <c r="AH947" s="6"/>
      <c r="AI947" s="6"/>
      <c r="AJ947" s="6"/>
      <c r="AK947" s="6"/>
      <c r="AL947" s="6"/>
      <c r="AM947" s="6"/>
      <c r="AN947" s="6"/>
      <c r="AO947" s="6"/>
    </row>
    <row r="948" spans="1:41" ht="14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15"/>
      <c r="AC948" s="15"/>
      <c r="AD948" s="15"/>
      <c r="AE948" s="15"/>
      <c r="AF948" s="6"/>
      <c r="AG948" s="6"/>
      <c r="AH948" s="6"/>
      <c r="AI948" s="6"/>
      <c r="AJ948" s="6"/>
      <c r="AK948" s="6"/>
      <c r="AL948" s="6"/>
      <c r="AM948" s="6"/>
      <c r="AN948" s="6"/>
      <c r="AO948" s="6"/>
    </row>
    <row r="949" spans="1:41" ht="14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15"/>
      <c r="AC949" s="15"/>
      <c r="AD949" s="15"/>
      <c r="AE949" s="15"/>
      <c r="AF949" s="6"/>
      <c r="AG949" s="6"/>
      <c r="AH949" s="6"/>
      <c r="AI949" s="6"/>
      <c r="AJ949" s="6"/>
      <c r="AK949" s="6"/>
      <c r="AL949" s="6"/>
      <c r="AM949" s="6"/>
      <c r="AN949" s="6"/>
      <c r="AO949" s="6"/>
    </row>
    <row r="950" spans="1:41" ht="14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15"/>
      <c r="AC950" s="15"/>
      <c r="AD950" s="15"/>
      <c r="AE950" s="15"/>
      <c r="AF950" s="6"/>
      <c r="AG950" s="6"/>
      <c r="AH950" s="6"/>
      <c r="AI950" s="6"/>
      <c r="AJ950" s="6"/>
      <c r="AK950" s="6"/>
      <c r="AL950" s="6"/>
      <c r="AM950" s="6"/>
      <c r="AN950" s="6"/>
      <c r="AO950" s="6"/>
    </row>
    <row r="951" spans="1:41" ht="14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15"/>
      <c r="AC951" s="15"/>
      <c r="AD951" s="15"/>
      <c r="AE951" s="15"/>
      <c r="AF951" s="6"/>
      <c r="AG951" s="6"/>
      <c r="AH951" s="6"/>
      <c r="AI951" s="6"/>
      <c r="AJ951" s="6"/>
      <c r="AK951" s="6"/>
      <c r="AL951" s="6"/>
      <c r="AM951" s="6"/>
      <c r="AN951" s="6"/>
      <c r="AO951" s="6"/>
    </row>
    <row r="952" spans="1:41" ht="14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15"/>
      <c r="AC952" s="15"/>
      <c r="AD952" s="15"/>
      <c r="AE952" s="15"/>
      <c r="AF952" s="6"/>
      <c r="AG952" s="6"/>
      <c r="AH952" s="6"/>
      <c r="AI952" s="6"/>
      <c r="AJ952" s="6"/>
      <c r="AK952" s="6"/>
      <c r="AL952" s="6"/>
      <c r="AM952" s="6"/>
      <c r="AN952" s="6"/>
      <c r="AO952" s="6"/>
    </row>
    <row r="953" spans="1:41" ht="14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15"/>
      <c r="AC953" s="15"/>
      <c r="AD953" s="15"/>
      <c r="AE953" s="15"/>
      <c r="AF953" s="6"/>
      <c r="AG953" s="6"/>
      <c r="AH953" s="6"/>
      <c r="AI953" s="6"/>
      <c r="AJ953" s="6"/>
      <c r="AK953" s="6"/>
      <c r="AL953" s="6"/>
      <c r="AM953" s="6"/>
      <c r="AN953" s="6"/>
      <c r="AO953" s="6"/>
    </row>
    <row r="954" spans="1:41" ht="14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15"/>
      <c r="AC954" s="15"/>
      <c r="AD954" s="15"/>
      <c r="AE954" s="15"/>
      <c r="AF954" s="6"/>
      <c r="AG954" s="6"/>
      <c r="AH954" s="6"/>
      <c r="AI954" s="6"/>
      <c r="AJ954" s="6"/>
      <c r="AK954" s="6"/>
      <c r="AL954" s="6"/>
      <c r="AM954" s="6"/>
      <c r="AN954" s="6"/>
      <c r="AO954" s="6"/>
    </row>
    <row r="955" spans="1:41" ht="14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15"/>
      <c r="AC955" s="15"/>
      <c r="AD955" s="15"/>
      <c r="AE955" s="15"/>
      <c r="AF955" s="6"/>
      <c r="AG955" s="6"/>
      <c r="AH955" s="6"/>
      <c r="AI955" s="6"/>
      <c r="AJ955" s="6"/>
      <c r="AK955" s="6"/>
      <c r="AL955" s="6"/>
      <c r="AM955" s="6"/>
      <c r="AN955" s="6"/>
      <c r="AO955" s="6"/>
    </row>
    <row r="956" spans="1:41" ht="14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15"/>
      <c r="AC956" s="15"/>
      <c r="AD956" s="15"/>
      <c r="AE956" s="15"/>
      <c r="AF956" s="6"/>
      <c r="AG956" s="6"/>
      <c r="AH956" s="6"/>
      <c r="AI956" s="6"/>
      <c r="AJ956" s="6"/>
      <c r="AK956" s="6"/>
      <c r="AL956" s="6"/>
      <c r="AM956" s="6"/>
      <c r="AN956" s="6"/>
      <c r="AO956" s="6"/>
    </row>
    <row r="957" spans="1:41" ht="14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15"/>
      <c r="AC957" s="15"/>
      <c r="AD957" s="15"/>
      <c r="AE957" s="15"/>
      <c r="AF957" s="6"/>
      <c r="AG957" s="6"/>
      <c r="AH957" s="6"/>
      <c r="AI957" s="6"/>
      <c r="AJ957" s="6"/>
      <c r="AK957" s="6"/>
      <c r="AL957" s="6"/>
      <c r="AM957" s="6"/>
      <c r="AN957" s="6"/>
      <c r="AO957" s="6"/>
    </row>
    <row r="958" spans="1:41" ht="14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15"/>
      <c r="AC958" s="15"/>
      <c r="AD958" s="15"/>
      <c r="AE958" s="15"/>
      <c r="AF958" s="6"/>
      <c r="AG958" s="6"/>
      <c r="AH958" s="6"/>
      <c r="AI958" s="6"/>
      <c r="AJ958" s="6"/>
      <c r="AK958" s="6"/>
      <c r="AL958" s="6"/>
      <c r="AM958" s="6"/>
      <c r="AN958" s="6"/>
      <c r="AO958" s="6"/>
    </row>
    <row r="959" spans="1:41" ht="14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15"/>
      <c r="AC959" s="15"/>
      <c r="AD959" s="15"/>
      <c r="AE959" s="15"/>
      <c r="AF959" s="6"/>
      <c r="AG959" s="6"/>
      <c r="AH959" s="6"/>
      <c r="AI959" s="6"/>
      <c r="AJ959" s="6"/>
      <c r="AK959" s="6"/>
      <c r="AL959" s="6"/>
      <c r="AM959" s="6"/>
      <c r="AN959" s="6"/>
      <c r="AO959" s="6"/>
    </row>
    <row r="960" spans="1:41" ht="14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15"/>
      <c r="AC960" s="15"/>
      <c r="AD960" s="15"/>
      <c r="AE960" s="15"/>
      <c r="AF960" s="6"/>
      <c r="AG960" s="6"/>
      <c r="AH960" s="6"/>
      <c r="AI960" s="6"/>
      <c r="AJ960" s="6"/>
      <c r="AK960" s="6"/>
      <c r="AL960" s="6"/>
      <c r="AM960" s="6"/>
      <c r="AN960" s="6"/>
      <c r="AO960" s="6"/>
    </row>
    <row r="961" spans="1:41" ht="14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15"/>
      <c r="AC961" s="15"/>
      <c r="AD961" s="15"/>
      <c r="AE961" s="15"/>
      <c r="AF961" s="6"/>
      <c r="AG961" s="6"/>
      <c r="AH961" s="6"/>
      <c r="AI961" s="6"/>
      <c r="AJ961" s="6"/>
      <c r="AK961" s="6"/>
      <c r="AL961" s="6"/>
      <c r="AM961" s="6"/>
      <c r="AN961" s="6"/>
      <c r="AO961" s="6"/>
    </row>
    <row r="962" spans="1:41" ht="14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15"/>
      <c r="AC962" s="15"/>
      <c r="AD962" s="15"/>
      <c r="AE962" s="15"/>
      <c r="AF962" s="6"/>
      <c r="AG962" s="6"/>
      <c r="AH962" s="6"/>
      <c r="AI962" s="6"/>
      <c r="AJ962" s="6"/>
      <c r="AK962" s="6"/>
      <c r="AL962" s="6"/>
      <c r="AM962" s="6"/>
      <c r="AN962" s="6"/>
      <c r="AO962" s="6"/>
    </row>
    <row r="963" spans="1:41" ht="14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15"/>
      <c r="AC963" s="15"/>
      <c r="AD963" s="15"/>
      <c r="AE963" s="15"/>
      <c r="AF963" s="6"/>
      <c r="AG963" s="6"/>
      <c r="AH963" s="6"/>
      <c r="AI963" s="6"/>
      <c r="AJ963" s="6"/>
      <c r="AK963" s="6"/>
      <c r="AL963" s="6"/>
      <c r="AM963" s="6"/>
      <c r="AN963" s="6"/>
      <c r="AO963" s="6"/>
    </row>
    <row r="964" spans="1:41" ht="14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15"/>
      <c r="AC964" s="15"/>
      <c r="AD964" s="15"/>
      <c r="AE964" s="15"/>
      <c r="AF964" s="6"/>
      <c r="AG964" s="6"/>
      <c r="AH964" s="6"/>
      <c r="AI964" s="6"/>
      <c r="AJ964" s="6"/>
      <c r="AK964" s="6"/>
      <c r="AL964" s="6"/>
      <c r="AM964" s="6"/>
      <c r="AN964" s="6"/>
      <c r="AO964" s="6"/>
    </row>
    <row r="965" spans="1:41" ht="14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15"/>
      <c r="AC965" s="15"/>
      <c r="AD965" s="15"/>
      <c r="AE965" s="15"/>
      <c r="AF965" s="6"/>
      <c r="AG965" s="6"/>
      <c r="AH965" s="6"/>
      <c r="AI965" s="6"/>
      <c r="AJ965" s="6"/>
      <c r="AK965" s="6"/>
      <c r="AL965" s="6"/>
      <c r="AM965" s="6"/>
      <c r="AN965" s="6"/>
      <c r="AO965" s="6"/>
    </row>
    <row r="966" spans="1:41" ht="14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15"/>
      <c r="AC966" s="15"/>
      <c r="AD966" s="15"/>
      <c r="AE966" s="15"/>
      <c r="AF966" s="6"/>
      <c r="AG966" s="6"/>
      <c r="AH966" s="6"/>
      <c r="AI966" s="6"/>
      <c r="AJ966" s="6"/>
      <c r="AK966" s="6"/>
      <c r="AL966" s="6"/>
      <c r="AM966" s="6"/>
      <c r="AN966" s="6"/>
      <c r="AO966" s="6"/>
    </row>
    <row r="967" spans="1:41" ht="14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15"/>
      <c r="AC967" s="15"/>
      <c r="AD967" s="15"/>
      <c r="AE967" s="15"/>
      <c r="AF967" s="6"/>
      <c r="AG967" s="6"/>
      <c r="AH967" s="6"/>
      <c r="AI967" s="6"/>
      <c r="AJ967" s="6"/>
      <c r="AK967" s="6"/>
      <c r="AL967" s="6"/>
      <c r="AM967" s="6"/>
      <c r="AN967" s="6"/>
      <c r="AO967" s="6"/>
    </row>
    <row r="968" spans="1:41" ht="14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15"/>
      <c r="AC968" s="15"/>
      <c r="AD968" s="15"/>
      <c r="AE968" s="15"/>
      <c r="AF968" s="6"/>
      <c r="AG968" s="6"/>
      <c r="AH968" s="6"/>
      <c r="AI968" s="6"/>
      <c r="AJ968" s="6"/>
      <c r="AK968" s="6"/>
      <c r="AL968" s="6"/>
      <c r="AM968" s="6"/>
      <c r="AN968" s="6"/>
      <c r="AO968" s="6"/>
    </row>
    <row r="969" spans="1:41" ht="14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15"/>
      <c r="AC969" s="15"/>
      <c r="AD969" s="15"/>
      <c r="AE969" s="15"/>
      <c r="AF969" s="6"/>
      <c r="AG969" s="6"/>
      <c r="AH969" s="6"/>
      <c r="AI969" s="6"/>
      <c r="AJ969" s="6"/>
      <c r="AK969" s="6"/>
      <c r="AL969" s="6"/>
      <c r="AM969" s="6"/>
      <c r="AN969" s="6"/>
      <c r="AO969" s="6"/>
    </row>
    <row r="970" spans="1:41" ht="14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15"/>
      <c r="AC970" s="15"/>
      <c r="AD970" s="15"/>
      <c r="AE970" s="15"/>
      <c r="AF970" s="6"/>
      <c r="AG970" s="6"/>
      <c r="AH970" s="6"/>
      <c r="AI970" s="6"/>
      <c r="AJ970" s="6"/>
      <c r="AK970" s="6"/>
      <c r="AL970" s="6"/>
      <c r="AM970" s="6"/>
      <c r="AN970" s="6"/>
      <c r="AO970" s="6"/>
    </row>
    <row r="971" spans="1:41" ht="14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15"/>
      <c r="AC971" s="15"/>
      <c r="AD971" s="15"/>
      <c r="AE971" s="15"/>
      <c r="AF971" s="6"/>
      <c r="AG971" s="6"/>
      <c r="AH971" s="6"/>
      <c r="AI971" s="6"/>
      <c r="AJ971" s="6"/>
      <c r="AK971" s="6"/>
      <c r="AL971" s="6"/>
      <c r="AM971" s="6"/>
      <c r="AN971" s="6"/>
      <c r="AO971" s="6"/>
    </row>
    <row r="972" spans="1:41" ht="14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15"/>
      <c r="AC972" s="15"/>
      <c r="AD972" s="15"/>
      <c r="AE972" s="15"/>
      <c r="AF972" s="6"/>
      <c r="AG972" s="6"/>
      <c r="AH972" s="6"/>
      <c r="AI972" s="6"/>
      <c r="AJ972" s="6"/>
      <c r="AK972" s="6"/>
      <c r="AL972" s="6"/>
      <c r="AM972" s="6"/>
      <c r="AN972" s="6"/>
      <c r="AO972" s="6"/>
    </row>
    <row r="973" spans="1:41" ht="14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15"/>
      <c r="AC973" s="15"/>
      <c r="AD973" s="15"/>
      <c r="AE973" s="15"/>
      <c r="AF973" s="6"/>
      <c r="AG973" s="6"/>
      <c r="AH973" s="6"/>
      <c r="AI973" s="6"/>
      <c r="AJ973" s="6"/>
      <c r="AK973" s="6"/>
      <c r="AL973" s="6"/>
      <c r="AM973" s="6"/>
      <c r="AN973" s="6"/>
      <c r="AO973" s="6"/>
    </row>
    <row r="974" spans="1:41" ht="14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15"/>
      <c r="AC974" s="15"/>
      <c r="AD974" s="15"/>
      <c r="AE974" s="15"/>
      <c r="AF974" s="6"/>
      <c r="AG974" s="6"/>
      <c r="AH974" s="6"/>
      <c r="AI974" s="6"/>
      <c r="AJ974" s="6"/>
      <c r="AK974" s="6"/>
      <c r="AL974" s="6"/>
      <c r="AM974" s="6"/>
      <c r="AN974" s="6"/>
      <c r="AO974" s="6"/>
    </row>
    <row r="975" spans="1:41" ht="14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15"/>
      <c r="AC975" s="15"/>
      <c r="AD975" s="15"/>
      <c r="AE975" s="15"/>
      <c r="AF975" s="6"/>
      <c r="AG975" s="6"/>
      <c r="AH975" s="6"/>
      <c r="AI975" s="6"/>
      <c r="AJ975" s="6"/>
      <c r="AK975" s="6"/>
      <c r="AL975" s="6"/>
      <c r="AM975" s="6"/>
      <c r="AN975" s="6"/>
      <c r="AO975" s="6"/>
    </row>
    <row r="976" spans="1:41" ht="14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15"/>
      <c r="AC976" s="15"/>
      <c r="AD976" s="15"/>
      <c r="AE976" s="15"/>
      <c r="AF976" s="6"/>
      <c r="AG976" s="6"/>
      <c r="AH976" s="6"/>
      <c r="AI976" s="6"/>
      <c r="AJ976" s="6"/>
      <c r="AK976" s="6"/>
      <c r="AL976" s="6"/>
      <c r="AM976" s="6"/>
      <c r="AN976" s="6"/>
      <c r="AO976" s="6"/>
    </row>
    <row r="977" spans="1:41" ht="14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15"/>
      <c r="AC977" s="15"/>
      <c r="AD977" s="15"/>
      <c r="AE977" s="15"/>
      <c r="AF977" s="6"/>
      <c r="AG977" s="6"/>
      <c r="AH977" s="6"/>
      <c r="AI977" s="6"/>
      <c r="AJ977" s="6"/>
      <c r="AK977" s="6"/>
      <c r="AL977" s="6"/>
      <c r="AM977" s="6"/>
      <c r="AN977" s="6"/>
      <c r="AO977" s="6"/>
    </row>
    <row r="978" spans="1:41" ht="14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15"/>
      <c r="AC978" s="15"/>
      <c r="AD978" s="15"/>
      <c r="AE978" s="15"/>
      <c r="AF978" s="6"/>
      <c r="AG978" s="6"/>
      <c r="AH978" s="6"/>
      <c r="AI978" s="6"/>
      <c r="AJ978" s="6"/>
      <c r="AK978" s="6"/>
      <c r="AL978" s="6"/>
      <c r="AM978" s="6"/>
      <c r="AN978" s="6"/>
      <c r="AO978" s="6"/>
    </row>
    <row r="979" spans="1:41" ht="14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15"/>
      <c r="AC979" s="15"/>
      <c r="AD979" s="15"/>
      <c r="AE979" s="15"/>
      <c r="AF979" s="6"/>
      <c r="AG979" s="6"/>
      <c r="AH979" s="6"/>
      <c r="AI979" s="6"/>
      <c r="AJ979" s="6"/>
      <c r="AK979" s="6"/>
      <c r="AL979" s="6"/>
      <c r="AM979" s="6"/>
      <c r="AN979" s="6"/>
      <c r="AO979" s="6"/>
    </row>
    <row r="980" spans="1:41" ht="14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15"/>
      <c r="AC980" s="15"/>
      <c r="AD980" s="15"/>
      <c r="AE980" s="15"/>
      <c r="AF980" s="6"/>
      <c r="AG980" s="6"/>
      <c r="AH980" s="6"/>
      <c r="AI980" s="6"/>
      <c r="AJ980" s="6"/>
      <c r="AK980" s="6"/>
      <c r="AL980" s="6"/>
      <c r="AM980" s="6"/>
      <c r="AN980" s="6"/>
      <c r="AO980" s="6"/>
    </row>
    <row r="981" spans="1:41" ht="14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15"/>
      <c r="AC981" s="15"/>
      <c r="AD981" s="15"/>
      <c r="AE981" s="15"/>
      <c r="AF981" s="6"/>
      <c r="AG981" s="6"/>
      <c r="AH981" s="6"/>
      <c r="AI981" s="6"/>
      <c r="AJ981" s="6"/>
      <c r="AK981" s="6"/>
      <c r="AL981" s="6"/>
      <c r="AM981" s="6"/>
      <c r="AN981" s="6"/>
      <c r="AO981" s="6"/>
    </row>
    <row r="982" spans="1:41" ht="14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15"/>
      <c r="AC982" s="15"/>
      <c r="AD982" s="15"/>
      <c r="AE982" s="15"/>
      <c r="AF982" s="6"/>
      <c r="AG982" s="6"/>
      <c r="AH982" s="6"/>
      <c r="AI982" s="6"/>
      <c r="AJ982" s="6"/>
      <c r="AK982" s="6"/>
      <c r="AL982" s="6"/>
      <c r="AM982" s="6"/>
      <c r="AN982" s="6"/>
      <c r="AO982" s="6"/>
    </row>
    <row r="983" spans="1:41" ht="14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15"/>
      <c r="AC983" s="15"/>
      <c r="AD983" s="15"/>
      <c r="AE983" s="15"/>
      <c r="AF983" s="6"/>
      <c r="AG983" s="6"/>
      <c r="AH983" s="6"/>
      <c r="AI983" s="6"/>
      <c r="AJ983" s="6"/>
      <c r="AK983" s="6"/>
      <c r="AL983" s="6"/>
      <c r="AM983" s="6"/>
      <c r="AN983" s="6"/>
      <c r="AO983" s="6"/>
    </row>
    <row r="984" spans="1:41" ht="14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15"/>
      <c r="AC984" s="15"/>
      <c r="AD984" s="15"/>
      <c r="AE984" s="15"/>
      <c r="AF984" s="6"/>
      <c r="AG984" s="6"/>
      <c r="AH984" s="6"/>
      <c r="AI984" s="6"/>
      <c r="AJ984" s="6"/>
      <c r="AK984" s="6"/>
      <c r="AL984" s="6"/>
      <c r="AM984" s="6"/>
      <c r="AN984" s="6"/>
      <c r="AO984" s="6"/>
    </row>
    <row r="985" spans="1:41" ht="14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15"/>
      <c r="AC985" s="15"/>
      <c r="AD985" s="15"/>
      <c r="AE985" s="15"/>
      <c r="AF985" s="6"/>
      <c r="AG985" s="6"/>
      <c r="AH985" s="6"/>
      <c r="AI985" s="6"/>
      <c r="AJ985" s="6"/>
      <c r="AK985" s="6"/>
      <c r="AL985" s="6"/>
      <c r="AM985" s="6"/>
      <c r="AN985" s="6"/>
      <c r="AO985" s="6"/>
    </row>
    <row r="986" spans="1:41" ht="14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15"/>
      <c r="AC986" s="15"/>
      <c r="AD986" s="15"/>
      <c r="AE986" s="15"/>
      <c r="AF986" s="6"/>
      <c r="AG986" s="6"/>
      <c r="AH986" s="6"/>
      <c r="AI986" s="6"/>
      <c r="AJ986" s="6"/>
      <c r="AK986" s="6"/>
      <c r="AL986" s="6"/>
      <c r="AM986" s="6"/>
      <c r="AN986" s="6"/>
      <c r="AO986" s="6"/>
    </row>
    <row r="987" spans="1:41" ht="14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15"/>
      <c r="AC987" s="15"/>
      <c r="AD987" s="15"/>
      <c r="AE987" s="15"/>
      <c r="AF987" s="6"/>
      <c r="AG987" s="6"/>
      <c r="AH987" s="6"/>
      <c r="AI987" s="6"/>
      <c r="AJ987" s="6"/>
      <c r="AK987" s="6"/>
      <c r="AL987" s="6"/>
      <c r="AM987" s="6"/>
      <c r="AN987" s="6"/>
      <c r="AO987" s="6"/>
    </row>
    <row r="988" spans="1:41" ht="14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15"/>
      <c r="AC988" s="15"/>
      <c r="AD988" s="15"/>
      <c r="AE988" s="15"/>
      <c r="AF988" s="6"/>
      <c r="AG988" s="6"/>
      <c r="AH988" s="6"/>
      <c r="AI988" s="6"/>
      <c r="AJ988" s="6"/>
      <c r="AK988" s="6"/>
      <c r="AL988" s="6"/>
      <c r="AM988" s="6"/>
      <c r="AN988" s="6"/>
      <c r="AO988" s="6"/>
    </row>
    <row r="989" spans="1:41" ht="14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15"/>
      <c r="AC989" s="15"/>
      <c r="AD989" s="15"/>
      <c r="AE989" s="15"/>
      <c r="AF989" s="6"/>
      <c r="AG989" s="6"/>
      <c r="AH989" s="6"/>
      <c r="AI989" s="6"/>
      <c r="AJ989" s="6"/>
      <c r="AK989" s="6"/>
      <c r="AL989" s="6"/>
      <c r="AM989" s="6"/>
      <c r="AN989" s="6"/>
      <c r="AO989" s="6"/>
    </row>
    <row r="990" spans="1:41" ht="14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15"/>
      <c r="AC990" s="15"/>
      <c r="AD990" s="15"/>
      <c r="AE990" s="15"/>
      <c r="AF990" s="6"/>
      <c r="AG990" s="6"/>
      <c r="AH990" s="6"/>
      <c r="AI990" s="6"/>
      <c r="AJ990" s="6"/>
      <c r="AK990" s="6"/>
      <c r="AL990" s="6"/>
      <c r="AM990" s="6"/>
      <c r="AN990" s="6"/>
      <c r="AO990" s="6"/>
    </row>
    <row r="991" spans="1:41" ht="14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15"/>
      <c r="AC991" s="15"/>
      <c r="AD991" s="15"/>
      <c r="AE991" s="15"/>
      <c r="AF991" s="6"/>
      <c r="AG991" s="6"/>
      <c r="AH991" s="6"/>
      <c r="AI991" s="6"/>
      <c r="AJ991" s="6"/>
      <c r="AK991" s="6"/>
      <c r="AL991" s="6"/>
      <c r="AM991" s="6"/>
      <c r="AN991" s="6"/>
      <c r="AO991" s="6"/>
    </row>
    <row r="992" spans="1:41" ht="14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15"/>
      <c r="AC992" s="15"/>
      <c r="AD992" s="15"/>
      <c r="AE992" s="15"/>
      <c r="AF992" s="6"/>
      <c r="AG992" s="6"/>
      <c r="AH992" s="6"/>
      <c r="AI992" s="6"/>
      <c r="AJ992" s="6"/>
      <c r="AK992" s="6"/>
      <c r="AL992" s="6"/>
      <c r="AM992" s="6"/>
      <c r="AN992" s="6"/>
      <c r="AO992" s="6"/>
    </row>
    <row r="993" spans="1:41" ht="14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15"/>
      <c r="AC993" s="15"/>
      <c r="AD993" s="15"/>
      <c r="AE993" s="15"/>
      <c r="AF993" s="6"/>
      <c r="AG993" s="6"/>
      <c r="AH993" s="6"/>
      <c r="AI993" s="6"/>
      <c r="AJ993" s="6"/>
      <c r="AK993" s="6"/>
      <c r="AL993" s="6"/>
      <c r="AM993" s="6"/>
      <c r="AN993" s="6"/>
      <c r="AO993" s="6"/>
    </row>
    <row r="994" spans="1:41" ht="14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15"/>
      <c r="AC994" s="15"/>
      <c r="AD994" s="15"/>
      <c r="AE994" s="15"/>
      <c r="AF994" s="6"/>
      <c r="AG994" s="6"/>
      <c r="AH994" s="6"/>
      <c r="AI994" s="6"/>
      <c r="AJ994" s="6"/>
      <c r="AK994" s="6"/>
      <c r="AL994" s="6"/>
      <c r="AM994" s="6"/>
      <c r="AN994" s="6"/>
      <c r="AO994" s="6"/>
    </row>
    <row r="995" spans="1:41" ht="14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15"/>
      <c r="AC995" s="15"/>
      <c r="AD995" s="15"/>
      <c r="AE995" s="15"/>
      <c r="AF995" s="6"/>
      <c r="AG995" s="6"/>
      <c r="AH995" s="6"/>
      <c r="AI995" s="6"/>
      <c r="AJ995" s="6"/>
      <c r="AK995" s="6"/>
      <c r="AL995" s="6"/>
      <c r="AM995" s="6"/>
      <c r="AN995" s="6"/>
      <c r="AO995" s="6"/>
    </row>
    <row r="996" spans="1:41" ht="14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15"/>
      <c r="AC996" s="15"/>
      <c r="AD996" s="15"/>
      <c r="AE996" s="15"/>
      <c r="AF996" s="6"/>
      <c r="AG996" s="6"/>
      <c r="AH996" s="6"/>
      <c r="AI996" s="6"/>
      <c r="AJ996" s="6"/>
      <c r="AK996" s="6"/>
      <c r="AL996" s="6"/>
      <c r="AM996" s="6"/>
      <c r="AN996" s="6"/>
      <c r="AO996" s="6"/>
    </row>
    <row r="997" spans="1:41" ht="14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15"/>
      <c r="AC997" s="15"/>
      <c r="AD997" s="15"/>
      <c r="AE997" s="15"/>
      <c r="AF997" s="6"/>
      <c r="AG997" s="6"/>
      <c r="AH997" s="6"/>
      <c r="AI997" s="6"/>
      <c r="AJ997" s="6"/>
      <c r="AK997" s="6"/>
      <c r="AL997" s="6"/>
      <c r="AM997" s="6"/>
      <c r="AN997" s="6"/>
      <c r="AO997" s="6"/>
    </row>
    <row r="998" spans="1:41" ht="14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15"/>
      <c r="AC998" s="15"/>
      <c r="AD998" s="15"/>
      <c r="AE998" s="15"/>
      <c r="AF998" s="6"/>
      <c r="AG998" s="6"/>
      <c r="AH998" s="6"/>
      <c r="AI998" s="6"/>
      <c r="AJ998" s="6"/>
      <c r="AK998" s="6"/>
      <c r="AL998" s="6"/>
      <c r="AM998" s="6"/>
      <c r="AN998" s="6"/>
      <c r="AO998" s="6"/>
    </row>
    <row r="999" spans="1:41" ht="14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15"/>
      <c r="AC999" s="15"/>
      <c r="AD999" s="15"/>
      <c r="AE999" s="15"/>
      <c r="AF999" s="6"/>
      <c r="AG999" s="6"/>
      <c r="AH999" s="6"/>
      <c r="AI999" s="6"/>
      <c r="AJ999" s="6"/>
      <c r="AK999" s="6"/>
      <c r="AL999" s="6"/>
      <c r="AM999" s="6"/>
      <c r="AN999" s="6"/>
      <c r="AO999" s="6"/>
    </row>
    <row r="1000" spans="1:41" ht="14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15"/>
      <c r="AC1000" s="15"/>
      <c r="AD1000" s="15"/>
      <c r="AE1000" s="15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</row>
  </sheetData>
  <mergeCells count="2">
    <mergeCell ref="K1:L1"/>
    <mergeCell ref="M1:N1"/>
  </mergeCells>
  <conditionalFormatting sqref="A1:C1 F1:Y1">
    <cfRule type="expression" dxfId="0" priority="1">
      <formula>#REF!="SP 1"</formula>
    </cfRule>
  </conditionalFormatting>
  <hyperlinks>
    <hyperlink ref="AJ2" r:id="rId1" xr:uid="{7FE0A558-01E0-4994-8007-CD48A41865D0}"/>
    <hyperlink ref="AJ8" r:id="rId2" xr:uid="{7174E1E4-8A16-4DCF-98F2-8723CE5D53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Jefry Dalegi</dc:creator>
  <cp:lastModifiedBy>Jefry Dalegi</cp:lastModifiedBy>
  <dcterms:created xsi:type="dcterms:W3CDTF">2026-09-17T04:27:14Z</dcterms:created>
  <dcterms:modified xsi:type="dcterms:W3CDTF">2026-09-17T04:27:28Z</dcterms:modified>
</cp:coreProperties>
</file>